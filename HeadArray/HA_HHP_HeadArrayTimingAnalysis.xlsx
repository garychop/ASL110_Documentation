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Invacare\ASL110\ASL110_Documentation\HeadArray\"/>
    </mc:Choice>
  </mc:AlternateContent>
  <xr:revisionPtr revIDLastSave="0" documentId="13_ncr:1_{D2965D2E-72B4-416E-ADC9-735EF1FD3512}" xr6:coauthVersionLast="45" xr6:coauthVersionMax="45" xr10:uidLastSave="{00000000-0000-0000-0000-000000000000}"/>
  <bookViews>
    <workbookView xWindow="-120" yWindow="-120" windowWidth="29040" windowHeight="15840" activeTab="4" xr2:uid="{1CC3B75C-6B58-4B8C-B05F-04D899897821}"/>
  </bookViews>
  <sheets>
    <sheet name="SingleFunc" sheetId="1" r:id="rId1"/>
    <sheet name="SepFuncInline" sheetId="2" r:id="rId2"/>
    <sheet name="DelayCalcs" sheetId="3" r:id="rId3"/>
    <sheet name="usDelayMeasuredData" sheetId="4" r:id="rId4"/>
    <sheet name="usDelayVa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4" l="1"/>
  <c r="K6" i="4"/>
  <c r="I14" i="4"/>
  <c r="I13" i="4"/>
  <c r="I12" i="4"/>
  <c r="I11" i="4"/>
  <c r="F12" i="4"/>
  <c r="F13" i="4"/>
  <c r="F14" i="4"/>
  <c r="F11" i="4"/>
  <c r="F9" i="4"/>
  <c r="I9" i="4"/>
  <c r="F8" i="4"/>
  <c r="I8" i="4"/>
  <c r="F7" i="4"/>
  <c r="I7" i="4"/>
  <c r="F6" i="4"/>
  <c r="I6" i="4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3" i="3"/>
  <c r="M20" i="2" l="1"/>
  <c r="M19" i="2"/>
  <c r="M18" i="2"/>
  <c r="M17" i="2"/>
  <c r="M16" i="2"/>
  <c r="M15" i="2"/>
  <c r="J20" i="2"/>
  <c r="J19" i="2"/>
  <c r="J18" i="2"/>
  <c r="J17" i="2"/>
  <c r="J16" i="2"/>
  <c r="J15" i="2"/>
  <c r="G20" i="2"/>
  <c r="G19" i="2"/>
  <c r="G18" i="2"/>
  <c r="G17" i="2"/>
  <c r="G16" i="2"/>
  <c r="G15" i="2"/>
  <c r="D20" i="2"/>
  <c r="D19" i="2"/>
  <c r="D16" i="2"/>
  <c r="D17" i="2"/>
  <c r="D18" i="2"/>
  <c r="D15" i="2"/>
  <c r="M5" i="2"/>
  <c r="D5" i="2"/>
  <c r="G10" i="2"/>
  <c r="G9" i="2"/>
  <c r="G8" i="2"/>
  <c r="G7" i="2"/>
  <c r="G6" i="2"/>
  <c r="M10" i="2"/>
  <c r="M9" i="2"/>
  <c r="M8" i="2"/>
  <c r="M7" i="2"/>
  <c r="M6" i="2"/>
  <c r="J10" i="2"/>
  <c r="J9" i="2"/>
  <c r="J8" i="2"/>
  <c r="J7" i="2"/>
  <c r="J6" i="2"/>
  <c r="D10" i="2"/>
  <c r="D9" i="2"/>
  <c r="D7" i="2"/>
  <c r="D8" i="2"/>
  <c r="D6" i="2"/>
  <c r="N20" i="2"/>
  <c r="K20" i="2"/>
  <c r="H20" i="2"/>
  <c r="E20" i="2"/>
  <c r="N19" i="2"/>
  <c r="K19" i="2"/>
  <c r="H19" i="2"/>
  <c r="E19" i="2"/>
  <c r="N18" i="2"/>
  <c r="K18" i="2"/>
  <c r="H18" i="2"/>
  <c r="E18" i="2"/>
  <c r="N17" i="2"/>
  <c r="K17" i="2"/>
  <c r="H17" i="2"/>
  <c r="E17" i="2"/>
  <c r="N10" i="2"/>
  <c r="N9" i="2"/>
  <c r="N8" i="2"/>
  <c r="N7" i="2"/>
  <c r="K10" i="2"/>
  <c r="K9" i="2"/>
  <c r="K8" i="2"/>
  <c r="K7" i="2"/>
  <c r="H10" i="2"/>
  <c r="H9" i="2"/>
  <c r="H8" i="2"/>
  <c r="H7" i="2"/>
  <c r="E10" i="2"/>
  <c r="E9" i="2"/>
  <c r="E8" i="2"/>
  <c r="E7" i="2"/>
  <c r="I9" i="1"/>
  <c r="I8" i="1"/>
  <c r="I7" i="1"/>
  <c r="G9" i="1"/>
  <c r="G8" i="1"/>
  <c r="G7" i="1"/>
  <c r="G6" i="1"/>
  <c r="G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<sst xmlns="http://schemas.openxmlformats.org/spreadsheetml/2006/main" count="88" uniqueCount="22">
  <si>
    <t>Optimization 2 (w/ or w/o focus on Debug)</t>
  </si>
  <si>
    <t>Timeout Count</t>
  </si>
  <si>
    <t>Timeout (us)</t>
  </si>
  <si>
    <t>Time Diff B/W Counts (us)</t>
  </si>
  <si>
    <t>Optimization 0</t>
  </si>
  <si>
    <t>Clock High</t>
  </si>
  <si>
    <t>Clock Low</t>
  </si>
  <si>
    <t>Data High</t>
  </si>
  <si>
    <t>Data Low</t>
  </si>
  <si>
    <t>Optimization 2</t>
  </si>
  <si>
    <t>Actual Timeout (us)</t>
  </si>
  <si>
    <t>Time to turn frive test GPIO low</t>
  </si>
  <si>
    <t>us</t>
  </si>
  <si>
    <t>ACTIVE</t>
  </si>
  <si>
    <t>-</t>
  </si>
  <si>
    <t>Opt 0</t>
  </si>
  <si>
    <t>Opt 2</t>
  </si>
  <si>
    <t>Count</t>
  </si>
  <si>
    <t>Delay (us)</t>
  </si>
  <si>
    <t>Time to turn drive test GPIO low</t>
  </si>
  <si>
    <t>Optimization 0 (Measured)</t>
  </si>
  <si>
    <t>Optimization 2 (Measured)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</si>
</sst>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24AE-2EBC-4E01-9FE4-7FC473F3A103}">
  <dimension ref="A2:I9"/>
  <sheetViews>
    <sheetView workbookViewId="0">
      <selection activeCell="A2" sqref="A2:G9"/>
    </sheetView>
  </sheetViews>
  <sheetFormatPr defaultRowHeight="15" x14ac:dyDescent="0.25"/>
  <cols>
    <col min="1" max="1" width="14.28515625" bestFit="1" customWidth="1"/>
    <col min="2" max="2" width="12.28515625" bestFit="1" customWidth="1"/>
    <col min="3" max="3" width="24.28515625" bestFit="1" customWidth="1"/>
    <col min="5" max="5" width="14.28515625" bestFit="1" customWidth="1"/>
    <col min="6" max="6" width="12.28515625" bestFit="1" customWidth="1"/>
    <col min="7" max="7" width="24.42578125" bestFit="1" customWidth="1"/>
  </cols>
  <sheetData>
    <row r="2" spans="1:9" x14ac:dyDescent="0.25">
      <c r="A2" s="20" t="s">
        <v>0</v>
      </c>
      <c r="B2" s="20"/>
      <c r="C2" s="20"/>
      <c r="E2" s="20" t="s">
        <v>4</v>
      </c>
      <c r="F2" s="20"/>
      <c r="G2" s="20"/>
    </row>
    <row r="3" spans="1:9" x14ac:dyDescent="0.2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3</v>
      </c>
    </row>
    <row r="4" spans="1:9" x14ac:dyDescent="0.25">
      <c r="A4">
        <v>1</v>
      </c>
      <c r="B4">
        <v>47.6</v>
      </c>
      <c r="E4">
        <v>1</v>
      </c>
      <c r="F4">
        <v>57.6</v>
      </c>
    </row>
    <row r="5" spans="1:9" x14ac:dyDescent="0.25">
      <c r="A5">
        <v>2</v>
      </c>
      <c r="B5">
        <v>69.599999999999994</v>
      </c>
      <c r="C5">
        <f>B5-B4</f>
        <v>21.999999999999993</v>
      </c>
      <c r="E5">
        <v>2</v>
      </c>
      <c r="F5">
        <v>85.2</v>
      </c>
      <c r="G5">
        <f>F5-F4</f>
        <v>27.6</v>
      </c>
    </row>
    <row r="6" spans="1:9" x14ac:dyDescent="0.25">
      <c r="A6">
        <v>3</v>
      </c>
      <c r="B6">
        <v>91.7</v>
      </c>
      <c r="C6">
        <f t="shared" ref="C6:C9" si="0">B6-B5</f>
        <v>22.100000000000009</v>
      </c>
      <c r="E6">
        <v>3</v>
      </c>
      <c r="F6">
        <v>112.8</v>
      </c>
      <c r="G6">
        <f t="shared" ref="G6:G9" si="1">F6-F5</f>
        <v>27.599999999999994</v>
      </c>
    </row>
    <row r="7" spans="1:9" x14ac:dyDescent="0.25">
      <c r="A7">
        <v>4</v>
      </c>
      <c r="B7">
        <v>113.6</v>
      </c>
      <c r="C7">
        <f t="shared" si="0"/>
        <v>21.899999999999991</v>
      </c>
      <c r="E7">
        <v>4</v>
      </c>
      <c r="F7">
        <v>140.4</v>
      </c>
      <c r="G7">
        <f t="shared" si="1"/>
        <v>27.600000000000009</v>
      </c>
      <c r="I7">
        <f>8*150</f>
        <v>1200</v>
      </c>
    </row>
    <row r="8" spans="1:9" x14ac:dyDescent="0.25">
      <c r="A8">
        <v>5</v>
      </c>
      <c r="B8">
        <v>135.6</v>
      </c>
      <c r="C8">
        <f t="shared" si="0"/>
        <v>22</v>
      </c>
      <c r="E8">
        <v>5</v>
      </c>
      <c r="F8">
        <v>168.1</v>
      </c>
      <c r="G8">
        <f t="shared" si="1"/>
        <v>27.699999999999989</v>
      </c>
      <c r="I8">
        <f>I7*8</f>
        <v>9600</v>
      </c>
    </row>
    <row r="9" spans="1:9" x14ac:dyDescent="0.25">
      <c r="A9">
        <v>6</v>
      </c>
      <c r="B9">
        <v>157.6</v>
      </c>
      <c r="C9">
        <f t="shared" si="0"/>
        <v>22</v>
      </c>
      <c r="E9">
        <v>6</v>
      </c>
      <c r="F9">
        <v>195.6</v>
      </c>
      <c r="G9">
        <f t="shared" si="1"/>
        <v>27.5</v>
      </c>
      <c r="I9">
        <f>I8*2</f>
        <v>19200</v>
      </c>
    </row>
  </sheetData>
  <mergeCells count="2">
    <mergeCell ref="A2:C2"/>
    <mergeCell ref="E2:G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FEFD-0D13-4570-9DE9-0DD84546AEA6}">
  <dimension ref="B1:N30"/>
  <sheetViews>
    <sheetView workbookViewId="0">
      <selection activeCell="B24" sqref="B24:C30"/>
    </sheetView>
  </sheetViews>
  <sheetFormatPr defaultRowHeight="15" x14ac:dyDescent="0.25"/>
  <cols>
    <col min="2" max="2" width="14.28515625" bestFit="1" customWidth="1"/>
    <col min="3" max="3" width="12.28515625" bestFit="1" customWidth="1"/>
    <col min="4" max="4" width="18.5703125" bestFit="1" customWidth="1"/>
    <col min="5" max="5" width="24.42578125" bestFit="1" customWidth="1"/>
    <col min="6" max="6" width="12.28515625" bestFit="1" customWidth="1"/>
    <col min="7" max="7" width="18.5703125" bestFit="1" customWidth="1"/>
    <col min="8" max="8" width="24.42578125" bestFit="1" customWidth="1"/>
    <col min="9" max="9" width="12.28515625" bestFit="1" customWidth="1"/>
    <col min="10" max="10" width="18.5703125" bestFit="1" customWidth="1"/>
    <col min="11" max="11" width="24.42578125" bestFit="1" customWidth="1"/>
    <col min="12" max="12" width="12.28515625" bestFit="1" customWidth="1"/>
    <col min="13" max="13" width="18.5703125" bestFit="1" customWidth="1"/>
    <col min="14" max="14" width="24.42578125" bestFit="1" customWidth="1"/>
  </cols>
  <sheetData>
    <row r="1" spans="2:14" ht="15.75" thickBot="1" x14ac:dyDescent="0.3"/>
    <row r="2" spans="2:14" ht="15.75" thickBot="1" x14ac:dyDescent="0.3">
      <c r="B2" s="28" t="s">
        <v>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31"/>
    </row>
    <row r="3" spans="2:14" x14ac:dyDescent="0.25">
      <c r="B3" s="15"/>
      <c r="C3" s="21" t="s">
        <v>5</v>
      </c>
      <c r="D3" s="22"/>
      <c r="E3" s="23"/>
      <c r="F3" s="24" t="s">
        <v>6</v>
      </c>
      <c r="G3" s="25"/>
      <c r="H3" s="26"/>
      <c r="I3" s="21" t="s">
        <v>7</v>
      </c>
      <c r="J3" s="22"/>
      <c r="K3" s="23"/>
      <c r="L3" s="21" t="s">
        <v>8</v>
      </c>
      <c r="M3" s="27"/>
      <c r="N3" s="23"/>
    </row>
    <row r="4" spans="2:14" x14ac:dyDescent="0.25">
      <c r="B4" s="16" t="s">
        <v>1</v>
      </c>
      <c r="C4" s="4" t="s">
        <v>2</v>
      </c>
      <c r="D4" s="3" t="s">
        <v>10</v>
      </c>
      <c r="E4" s="5" t="s">
        <v>3</v>
      </c>
      <c r="F4" s="4" t="s">
        <v>2</v>
      </c>
      <c r="G4" s="3" t="s">
        <v>10</v>
      </c>
      <c r="H4" s="5" t="s">
        <v>3</v>
      </c>
      <c r="I4" s="4" t="s">
        <v>2</v>
      </c>
      <c r="J4" s="3" t="s">
        <v>10</v>
      </c>
      <c r="K4" s="5" t="s">
        <v>3</v>
      </c>
      <c r="L4" s="4" t="s">
        <v>2</v>
      </c>
      <c r="M4" s="3" t="s">
        <v>10</v>
      </c>
      <c r="N4" s="5" t="s">
        <v>3</v>
      </c>
    </row>
    <row r="5" spans="2:14" x14ac:dyDescent="0.25">
      <c r="B5" s="17" t="s">
        <v>13</v>
      </c>
      <c r="C5" s="12">
        <v>29.2</v>
      </c>
      <c r="D5" s="13">
        <f t="shared" ref="D5:D10" si="0">C5-$B$26</f>
        <v>11.599999999999998</v>
      </c>
      <c r="E5" s="14" t="s">
        <v>14</v>
      </c>
      <c r="F5" s="12">
        <v>29.2</v>
      </c>
      <c r="G5" s="13"/>
      <c r="H5" s="14" t="s">
        <v>14</v>
      </c>
      <c r="I5" s="12">
        <v>29.2</v>
      </c>
      <c r="J5" s="13"/>
      <c r="K5" s="14" t="s">
        <v>14</v>
      </c>
      <c r="L5" s="12">
        <v>29.2</v>
      </c>
      <c r="M5" s="13">
        <f>L5-$B$26</f>
        <v>11.599999999999998</v>
      </c>
      <c r="N5" s="14" t="s">
        <v>14</v>
      </c>
    </row>
    <row r="6" spans="2:14" x14ac:dyDescent="0.25">
      <c r="B6" s="18">
        <v>1</v>
      </c>
      <c r="C6" s="6">
        <v>34</v>
      </c>
      <c r="D6" s="7">
        <f t="shared" si="0"/>
        <v>16.399999999999999</v>
      </c>
      <c r="E6" s="8" t="s">
        <v>14</v>
      </c>
      <c r="F6" s="6">
        <v>34</v>
      </c>
      <c r="G6" s="7">
        <f>F6-$B$26</f>
        <v>16.399999999999999</v>
      </c>
      <c r="H6" s="8" t="s">
        <v>14</v>
      </c>
      <c r="I6" s="6">
        <v>34</v>
      </c>
      <c r="J6" s="7">
        <f>I6-$B$26</f>
        <v>16.399999999999999</v>
      </c>
      <c r="K6" s="8" t="s">
        <v>14</v>
      </c>
      <c r="L6" s="6">
        <v>34</v>
      </c>
      <c r="M6" s="7">
        <f>L6-$B$26</f>
        <v>16.399999999999999</v>
      </c>
      <c r="N6" s="8" t="s">
        <v>14</v>
      </c>
    </row>
    <row r="7" spans="2:14" x14ac:dyDescent="0.25">
      <c r="B7" s="18">
        <v>2</v>
      </c>
      <c r="C7" s="6">
        <v>40.4</v>
      </c>
      <c r="D7" s="7">
        <f t="shared" si="0"/>
        <v>22.799999999999997</v>
      </c>
      <c r="E7" s="8">
        <f>C7-C6</f>
        <v>6.3999999999999986</v>
      </c>
      <c r="F7" s="6">
        <v>40.4</v>
      </c>
      <c r="G7" s="7">
        <f t="shared" ref="G7:G8" si="1">F7-$B$26</f>
        <v>22.799999999999997</v>
      </c>
      <c r="H7" s="8">
        <f>F7-F6</f>
        <v>6.3999999999999986</v>
      </c>
      <c r="I7" s="6">
        <v>40.4</v>
      </c>
      <c r="J7" s="7">
        <f t="shared" ref="J7:J8" si="2">I7-$B$26</f>
        <v>22.799999999999997</v>
      </c>
      <c r="K7" s="8">
        <f>I7-I6</f>
        <v>6.3999999999999986</v>
      </c>
      <c r="L7" s="6">
        <v>40.4</v>
      </c>
      <c r="M7" s="7">
        <f t="shared" ref="M7:M8" si="3">L7-$B$26</f>
        <v>22.799999999999997</v>
      </c>
      <c r="N7" s="8">
        <f>L7-L6</f>
        <v>6.3999999999999986</v>
      </c>
    </row>
    <row r="8" spans="2:14" x14ac:dyDescent="0.25">
      <c r="B8" s="18">
        <v>3</v>
      </c>
      <c r="C8" s="6">
        <v>46.8</v>
      </c>
      <c r="D8" s="7">
        <f t="shared" si="0"/>
        <v>29.199999999999996</v>
      </c>
      <c r="E8" s="8">
        <f>C8-C7</f>
        <v>6.3999999999999986</v>
      </c>
      <c r="F8" s="6">
        <v>46.8</v>
      </c>
      <c r="G8" s="7">
        <f t="shared" si="1"/>
        <v>29.199999999999996</v>
      </c>
      <c r="H8" s="8">
        <f>F8-F7</f>
        <v>6.3999999999999986</v>
      </c>
      <c r="I8" s="6">
        <v>46.8</v>
      </c>
      <c r="J8" s="7">
        <f t="shared" si="2"/>
        <v>29.199999999999996</v>
      </c>
      <c r="K8" s="8">
        <f t="shared" ref="K8" si="4">I8-I7</f>
        <v>6.3999999999999986</v>
      </c>
      <c r="L8" s="6">
        <v>46.8</v>
      </c>
      <c r="M8" s="7">
        <f t="shared" si="3"/>
        <v>29.199999999999996</v>
      </c>
      <c r="N8" s="8">
        <f t="shared" ref="N8" si="5">L8-L7</f>
        <v>6.3999999999999986</v>
      </c>
    </row>
    <row r="9" spans="2:14" x14ac:dyDescent="0.25">
      <c r="B9" s="18">
        <v>4</v>
      </c>
      <c r="C9" s="6">
        <v>53.2</v>
      </c>
      <c r="D9" s="7">
        <f t="shared" si="0"/>
        <v>35.6</v>
      </c>
      <c r="E9" s="8">
        <f>C9-C8</f>
        <v>6.4000000000000057</v>
      </c>
      <c r="F9" s="6">
        <v>53.2</v>
      </c>
      <c r="G9" s="7">
        <f>F9-$B$26</f>
        <v>35.6</v>
      </c>
      <c r="H9" s="8">
        <f>F9-F8</f>
        <v>6.4000000000000057</v>
      </c>
      <c r="I9" s="6">
        <v>53.2</v>
      </c>
      <c r="J9" s="7">
        <f>I9-$B$26</f>
        <v>35.6</v>
      </c>
      <c r="K9" s="8">
        <f t="shared" ref="K9" si="6">I9-I8</f>
        <v>6.4000000000000057</v>
      </c>
      <c r="L9" s="6">
        <v>53.2</v>
      </c>
      <c r="M9" s="7">
        <f>L9-$B$26</f>
        <v>35.6</v>
      </c>
      <c r="N9" s="8">
        <f t="shared" ref="N9" si="7">L9-L8</f>
        <v>6.4000000000000057</v>
      </c>
    </row>
    <row r="10" spans="2:14" ht="15.75" thickBot="1" x14ac:dyDescent="0.3">
      <c r="B10" s="19">
        <v>5</v>
      </c>
      <c r="C10" s="9">
        <v>59.6</v>
      </c>
      <c r="D10" s="10">
        <f t="shared" si="0"/>
        <v>42</v>
      </c>
      <c r="E10" s="11">
        <f>C10-C9</f>
        <v>6.3999999999999986</v>
      </c>
      <c r="F10" s="9">
        <v>59.6</v>
      </c>
      <c r="G10" s="10">
        <f>F10-$B$26</f>
        <v>42</v>
      </c>
      <c r="H10" s="11">
        <f>F10-F9</f>
        <v>6.3999999999999986</v>
      </c>
      <c r="I10" s="9">
        <v>59.6</v>
      </c>
      <c r="J10" s="10">
        <f>I10-$B$26</f>
        <v>42</v>
      </c>
      <c r="K10" s="11">
        <f t="shared" ref="K10" si="8">I10-I9</f>
        <v>6.3999999999999986</v>
      </c>
      <c r="L10" s="9">
        <v>59.6</v>
      </c>
      <c r="M10" s="10">
        <f>L10-$B$26</f>
        <v>42</v>
      </c>
      <c r="N10" s="11">
        <f t="shared" ref="N10" si="9">L10-L9</f>
        <v>6.3999999999999986</v>
      </c>
    </row>
    <row r="11" spans="2:14" ht="15.75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15.75" thickBot="1" x14ac:dyDescent="0.3">
      <c r="B12" s="28" t="s">
        <v>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0"/>
      <c r="N12" s="31"/>
    </row>
    <row r="13" spans="2:14" x14ac:dyDescent="0.25">
      <c r="B13" s="24" t="s">
        <v>5</v>
      </c>
      <c r="C13" s="25"/>
      <c r="D13" s="25"/>
      <c r="E13" s="26"/>
      <c r="F13" s="21" t="s">
        <v>6</v>
      </c>
      <c r="G13" s="22"/>
      <c r="H13" s="23"/>
      <c r="I13" s="21" t="s">
        <v>7</v>
      </c>
      <c r="J13" s="22"/>
      <c r="K13" s="23"/>
      <c r="L13" s="21" t="s">
        <v>8</v>
      </c>
      <c r="M13" s="27"/>
      <c r="N13" s="23"/>
    </row>
    <row r="14" spans="2:14" x14ac:dyDescent="0.25">
      <c r="B14" s="4" t="s">
        <v>1</v>
      </c>
      <c r="C14" s="3" t="s">
        <v>2</v>
      </c>
      <c r="D14" s="3" t="s">
        <v>10</v>
      </c>
      <c r="E14" s="5" t="s">
        <v>3</v>
      </c>
      <c r="F14" s="4" t="s">
        <v>2</v>
      </c>
      <c r="G14" s="3" t="s">
        <v>10</v>
      </c>
      <c r="H14" s="5" t="s">
        <v>3</v>
      </c>
      <c r="I14" s="4" t="s">
        <v>2</v>
      </c>
      <c r="J14" s="3" t="s">
        <v>10</v>
      </c>
      <c r="K14" s="5" t="s">
        <v>3</v>
      </c>
      <c r="L14" s="4" t="s">
        <v>2</v>
      </c>
      <c r="M14" s="3" t="s">
        <v>10</v>
      </c>
      <c r="N14" s="5" t="s">
        <v>3</v>
      </c>
    </row>
    <row r="15" spans="2:14" x14ac:dyDescent="0.25">
      <c r="B15" s="12" t="s">
        <v>13</v>
      </c>
      <c r="C15" s="13">
        <v>23.6</v>
      </c>
      <c r="D15" s="13">
        <f>C15-$B$30</f>
        <v>8.8000000000000007</v>
      </c>
      <c r="E15" s="14" t="s">
        <v>14</v>
      </c>
      <c r="F15" s="13">
        <v>23.6</v>
      </c>
      <c r="G15" s="13">
        <f>F15-$B$30</f>
        <v>8.8000000000000007</v>
      </c>
      <c r="H15" s="14" t="s">
        <v>14</v>
      </c>
      <c r="I15" s="13">
        <v>23.6</v>
      </c>
      <c r="J15" s="13">
        <f>I15-$B$30</f>
        <v>8.8000000000000007</v>
      </c>
      <c r="K15" s="14" t="s">
        <v>14</v>
      </c>
      <c r="L15" s="12">
        <v>23.6</v>
      </c>
      <c r="M15" s="13">
        <f>L15-$B$30</f>
        <v>8.8000000000000007</v>
      </c>
      <c r="N15" s="14" t="s">
        <v>14</v>
      </c>
    </row>
    <row r="16" spans="2:14" x14ac:dyDescent="0.25">
      <c r="B16" s="6">
        <v>1</v>
      </c>
      <c r="C16" s="7">
        <v>27.6</v>
      </c>
      <c r="D16" s="13">
        <f t="shared" ref="D16:D18" si="10">C16-$B$30</f>
        <v>12.8</v>
      </c>
      <c r="E16" s="8" t="s">
        <v>14</v>
      </c>
      <c r="F16" s="7">
        <v>27.6</v>
      </c>
      <c r="G16" s="13">
        <f t="shared" ref="G16:G18" si="11">F16-$B$30</f>
        <v>12.8</v>
      </c>
      <c r="H16" s="8" t="s">
        <v>14</v>
      </c>
      <c r="I16" s="7">
        <v>27.6</v>
      </c>
      <c r="J16" s="13">
        <f t="shared" ref="J16:J18" si="12">I16-$B$30</f>
        <v>12.8</v>
      </c>
      <c r="K16" s="8" t="s">
        <v>14</v>
      </c>
      <c r="L16" s="6">
        <v>27.6</v>
      </c>
      <c r="M16" s="13">
        <f t="shared" ref="M16:M18" si="13">L16-$B$30</f>
        <v>12.8</v>
      </c>
      <c r="N16" s="8" t="s">
        <v>14</v>
      </c>
    </row>
    <row r="17" spans="2:14" x14ac:dyDescent="0.25">
      <c r="B17" s="6">
        <v>2</v>
      </c>
      <c r="C17" s="7">
        <v>32</v>
      </c>
      <c r="D17" s="13">
        <f t="shared" si="10"/>
        <v>17.2</v>
      </c>
      <c r="E17" s="8">
        <f>C17-C16</f>
        <v>4.3999999999999986</v>
      </c>
      <c r="F17" s="7">
        <v>32</v>
      </c>
      <c r="G17" s="13">
        <f t="shared" si="11"/>
        <v>17.2</v>
      </c>
      <c r="H17" s="8">
        <f>F17-F16</f>
        <v>4.3999999999999986</v>
      </c>
      <c r="I17" s="7">
        <v>32</v>
      </c>
      <c r="J17" s="13">
        <f t="shared" si="12"/>
        <v>17.2</v>
      </c>
      <c r="K17" s="8">
        <f>I17-I16</f>
        <v>4.3999999999999986</v>
      </c>
      <c r="L17" s="6">
        <v>32</v>
      </c>
      <c r="M17" s="13">
        <f t="shared" si="13"/>
        <v>17.2</v>
      </c>
      <c r="N17" s="8">
        <f>L17-L16</f>
        <v>4.3999999999999986</v>
      </c>
    </row>
    <row r="18" spans="2:14" x14ac:dyDescent="0.25">
      <c r="B18" s="6">
        <v>3</v>
      </c>
      <c r="C18" s="7">
        <v>36.4</v>
      </c>
      <c r="D18" s="13">
        <f t="shared" si="10"/>
        <v>21.599999999999998</v>
      </c>
      <c r="E18" s="8">
        <f>C18-C17</f>
        <v>4.3999999999999986</v>
      </c>
      <c r="F18" s="7">
        <v>36.4</v>
      </c>
      <c r="G18" s="13">
        <f t="shared" si="11"/>
        <v>21.599999999999998</v>
      </c>
      <c r="H18" s="8">
        <f>F18-F17</f>
        <v>4.3999999999999986</v>
      </c>
      <c r="I18" s="7">
        <v>36.4</v>
      </c>
      <c r="J18" s="13">
        <f t="shared" si="12"/>
        <v>21.599999999999998</v>
      </c>
      <c r="K18" s="8">
        <f t="shared" ref="K18:K20" si="14">I18-I17</f>
        <v>4.3999999999999986</v>
      </c>
      <c r="L18" s="6">
        <v>36.4</v>
      </c>
      <c r="M18" s="13">
        <f t="shared" si="13"/>
        <v>21.599999999999998</v>
      </c>
      <c r="N18" s="8">
        <f t="shared" ref="N18:N20" si="15">L18-L17</f>
        <v>4.3999999999999986</v>
      </c>
    </row>
    <row r="19" spans="2:14" x14ac:dyDescent="0.25">
      <c r="B19" s="6">
        <v>4</v>
      </c>
      <c r="C19" s="7">
        <v>40.799999999999997</v>
      </c>
      <c r="D19" s="13">
        <f>C19-$B$30</f>
        <v>25.999999999999996</v>
      </c>
      <c r="E19" s="8">
        <f>C19-C18</f>
        <v>4.3999999999999986</v>
      </c>
      <c r="F19" s="7">
        <v>40.799999999999997</v>
      </c>
      <c r="G19" s="13">
        <f>F19-$B$30</f>
        <v>25.999999999999996</v>
      </c>
      <c r="H19" s="8">
        <f>F19-F18</f>
        <v>4.3999999999999986</v>
      </c>
      <c r="I19" s="7">
        <v>40.799999999999997</v>
      </c>
      <c r="J19" s="13">
        <f>I19-$B$30</f>
        <v>25.999999999999996</v>
      </c>
      <c r="K19" s="8">
        <f t="shared" si="14"/>
        <v>4.3999999999999986</v>
      </c>
      <c r="L19" s="6">
        <v>40.799999999999997</v>
      </c>
      <c r="M19" s="13">
        <f>L19-$B$30</f>
        <v>25.999999999999996</v>
      </c>
      <c r="N19" s="8">
        <f t="shared" si="15"/>
        <v>4.3999999999999986</v>
      </c>
    </row>
    <row r="20" spans="2:14" ht="15.75" thickBot="1" x14ac:dyDescent="0.3">
      <c r="B20" s="9">
        <v>5</v>
      </c>
      <c r="C20" s="10">
        <v>45.2</v>
      </c>
      <c r="D20" s="10">
        <f>C20-$B$30</f>
        <v>30.400000000000002</v>
      </c>
      <c r="E20" s="11">
        <f>C20-C19</f>
        <v>4.4000000000000057</v>
      </c>
      <c r="F20" s="10">
        <v>45.2</v>
      </c>
      <c r="G20" s="10">
        <f>F20-$B$30</f>
        <v>30.400000000000002</v>
      </c>
      <c r="H20" s="11">
        <f>F20-F19</f>
        <v>4.4000000000000057</v>
      </c>
      <c r="I20" s="10">
        <v>45.2</v>
      </c>
      <c r="J20" s="10">
        <f>I20-$B$30</f>
        <v>30.400000000000002</v>
      </c>
      <c r="K20" s="11">
        <f t="shared" si="14"/>
        <v>4.4000000000000057</v>
      </c>
      <c r="L20" s="9">
        <v>45.2</v>
      </c>
      <c r="M20" s="10">
        <f>L20-$B$30</f>
        <v>30.400000000000002</v>
      </c>
      <c r="N20" s="11">
        <f t="shared" si="15"/>
        <v>4.4000000000000057</v>
      </c>
    </row>
    <row r="24" spans="2:14" x14ac:dyDescent="0.25">
      <c r="B24" s="20" t="s">
        <v>4</v>
      </c>
      <c r="C24" s="20"/>
    </row>
    <row r="25" spans="2:14" x14ac:dyDescent="0.25">
      <c r="B25" s="2" t="s">
        <v>11</v>
      </c>
    </row>
    <row r="26" spans="2:14" x14ac:dyDescent="0.25">
      <c r="B26">
        <v>17.600000000000001</v>
      </c>
      <c r="C26" s="2" t="s">
        <v>12</v>
      </c>
    </row>
    <row r="27" spans="2:14" x14ac:dyDescent="0.25">
      <c r="C27" s="2"/>
    </row>
    <row r="28" spans="2:14" x14ac:dyDescent="0.25">
      <c r="B28" s="20" t="s">
        <v>9</v>
      </c>
      <c r="C28" s="20"/>
    </row>
    <row r="29" spans="2:14" x14ac:dyDescent="0.25">
      <c r="B29" s="2" t="s">
        <v>11</v>
      </c>
    </row>
    <row r="30" spans="2:14" x14ac:dyDescent="0.25">
      <c r="B30">
        <v>14.8</v>
      </c>
      <c r="C30" s="2" t="s">
        <v>12</v>
      </c>
    </row>
  </sheetData>
  <mergeCells count="12">
    <mergeCell ref="B28:C28"/>
    <mergeCell ref="B24:C24"/>
    <mergeCell ref="B12:N12"/>
    <mergeCell ref="F13:H13"/>
    <mergeCell ref="I13:K13"/>
    <mergeCell ref="L13:N13"/>
    <mergeCell ref="B13:E13"/>
    <mergeCell ref="C3:E3"/>
    <mergeCell ref="F3:H3"/>
    <mergeCell ref="I3:K3"/>
    <mergeCell ref="L3:N3"/>
    <mergeCell ref="B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77AB-3481-44BD-9C84-C79917CD6E2E}">
  <dimension ref="C1:E257"/>
  <sheetViews>
    <sheetView workbookViewId="0">
      <selection activeCell="E12" sqref="E12"/>
    </sheetView>
  </sheetViews>
  <sheetFormatPr defaultRowHeight="15" x14ac:dyDescent="0.25"/>
  <sheetData>
    <row r="1" spans="3:5" x14ac:dyDescent="0.25">
      <c r="C1" s="2"/>
      <c r="D1" s="20" t="s">
        <v>18</v>
      </c>
      <c r="E1" s="20"/>
    </row>
    <row r="2" spans="3:5" x14ac:dyDescent="0.25">
      <c r="C2" s="2" t="s">
        <v>17</v>
      </c>
      <c r="D2" s="2" t="s">
        <v>15</v>
      </c>
      <c r="E2" s="2" t="s">
        <v>16</v>
      </c>
    </row>
    <row r="3" spans="3:5" x14ac:dyDescent="0.25">
      <c r="C3">
        <v>1</v>
      </c>
      <c r="D3">
        <f>16.4+6.4*(C3-1)</f>
        <v>16.399999999999999</v>
      </c>
      <c r="E3">
        <f>12.7+(4.4*(C3-1))</f>
        <v>12.7</v>
      </c>
    </row>
    <row r="4" spans="3:5" x14ac:dyDescent="0.25">
      <c r="C4">
        <v>2</v>
      </c>
      <c r="D4">
        <f t="shared" ref="D4:D67" si="0">16.4+6.4*(C4-1)</f>
        <v>22.799999999999997</v>
      </c>
      <c r="E4">
        <f t="shared" ref="E4:E67" si="1">12.7+(4.4*(C4-1))</f>
        <v>17.100000000000001</v>
      </c>
    </row>
    <row r="5" spans="3:5" x14ac:dyDescent="0.25">
      <c r="C5">
        <v>3</v>
      </c>
      <c r="D5">
        <f t="shared" si="0"/>
        <v>29.2</v>
      </c>
      <c r="E5">
        <f t="shared" si="1"/>
        <v>21.5</v>
      </c>
    </row>
    <row r="6" spans="3:5" x14ac:dyDescent="0.25">
      <c r="C6">
        <v>4</v>
      </c>
      <c r="D6">
        <f t="shared" si="0"/>
        <v>35.6</v>
      </c>
      <c r="E6">
        <f t="shared" si="1"/>
        <v>25.9</v>
      </c>
    </row>
    <row r="7" spans="3:5" x14ac:dyDescent="0.25">
      <c r="C7">
        <v>5</v>
      </c>
      <c r="D7">
        <f t="shared" si="0"/>
        <v>42</v>
      </c>
      <c r="E7">
        <f t="shared" si="1"/>
        <v>30.3</v>
      </c>
    </row>
    <row r="8" spans="3:5" x14ac:dyDescent="0.25">
      <c r="C8">
        <v>6</v>
      </c>
      <c r="D8">
        <f t="shared" si="0"/>
        <v>48.4</v>
      </c>
      <c r="E8">
        <f t="shared" si="1"/>
        <v>34.700000000000003</v>
      </c>
    </row>
    <row r="9" spans="3:5" x14ac:dyDescent="0.25">
      <c r="C9">
        <v>7</v>
      </c>
      <c r="D9">
        <f t="shared" si="0"/>
        <v>54.800000000000004</v>
      </c>
      <c r="E9">
        <f t="shared" si="1"/>
        <v>39.1</v>
      </c>
    </row>
    <row r="10" spans="3:5" x14ac:dyDescent="0.25">
      <c r="C10">
        <v>8</v>
      </c>
      <c r="D10">
        <f t="shared" si="0"/>
        <v>61.2</v>
      </c>
      <c r="E10">
        <f t="shared" si="1"/>
        <v>43.5</v>
      </c>
    </row>
    <row r="11" spans="3:5" x14ac:dyDescent="0.25">
      <c r="C11">
        <v>9</v>
      </c>
      <c r="D11">
        <f t="shared" si="0"/>
        <v>67.599999999999994</v>
      </c>
      <c r="E11">
        <f t="shared" si="1"/>
        <v>47.900000000000006</v>
      </c>
    </row>
    <row r="12" spans="3:5" x14ac:dyDescent="0.25">
      <c r="C12">
        <v>10</v>
      </c>
      <c r="D12">
        <f t="shared" si="0"/>
        <v>74</v>
      </c>
      <c r="E12">
        <f t="shared" si="1"/>
        <v>52.3</v>
      </c>
    </row>
    <row r="13" spans="3:5" x14ac:dyDescent="0.25">
      <c r="C13">
        <v>11</v>
      </c>
      <c r="D13">
        <f t="shared" si="0"/>
        <v>80.400000000000006</v>
      </c>
      <c r="E13">
        <f t="shared" si="1"/>
        <v>56.7</v>
      </c>
    </row>
    <row r="14" spans="3:5" x14ac:dyDescent="0.25">
      <c r="C14">
        <v>12</v>
      </c>
      <c r="D14">
        <f t="shared" si="0"/>
        <v>86.800000000000011</v>
      </c>
      <c r="E14">
        <f t="shared" si="1"/>
        <v>61.100000000000009</v>
      </c>
    </row>
    <row r="15" spans="3:5" x14ac:dyDescent="0.25">
      <c r="C15">
        <v>13</v>
      </c>
      <c r="D15">
        <f t="shared" si="0"/>
        <v>93.200000000000017</v>
      </c>
      <c r="E15">
        <f t="shared" si="1"/>
        <v>65.5</v>
      </c>
    </row>
    <row r="16" spans="3:5" x14ac:dyDescent="0.25">
      <c r="C16">
        <v>14</v>
      </c>
      <c r="D16">
        <f t="shared" si="0"/>
        <v>99.6</v>
      </c>
      <c r="E16">
        <f t="shared" si="1"/>
        <v>69.900000000000006</v>
      </c>
    </row>
    <row r="17" spans="3:5" x14ac:dyDescent="0.25">
      <c r="C17">
        <v>15</v>
      </c>
      <c r="D17">
        <f t="shared" si="0"/>
        <v>106</v>
      </c>
      <c r="E17">
        <f t="shared" si="1"/>
        <v>74.300000000000011</v>
      </c>
    </row>
    <row r="18" spans="3:5" x14ac:dyDescent="0.25">
      <c r="C18">
        <v>16</v>
      </c>
      <c r="D18">
        <f t="shared" si="0"/>
        <v>112.4</v>
      </c>
      <c r="E18">
        <f t="shared" si="1"/>
        <v>78.7</v>
      </c>
    </row>
    <row r="19" spans="3:5" x14ac:dyDescent="0.25">
      <c r="C19">
        <v>17</v>
      </c>
      <c r="D19">
        <f t="shared" si="0"/>
        <v>118.80000000000001</v>
      </c>
      <c r="E19">
        <f t="shared" si="1"/>
        <v>83.100000000000009</v>
      </c>
    </row>
    <row r="20" spans="3:5" x14ac:dyDescent="0.25">
      <c r="C20">
        <v>18</v>
      </c>
      <c r="D20">
        <f t="shared" si="0"/>
        <v>125.20000000000002</v>
      </c>
      <c r="E20">
        <f t="shared" si="1"/>
        <v>87.500000000000014</v>
      </c>
    </row>
    <row r="21" spans="3:5" x14ac:dyDescent="0.25">
      <c r="C21">
        <v>19</v>
      </c>
      <c r="D21">
        <f t="shared" si="0"/>
        <v>131.6</v>
      </c>
      <c r="E21">
        <f t="shared" si="1"/>
        <v>91.9</v>
      </c>
    </row>
    <row r="22" spans="3:5" x14ac:dyDescent="0.25">
      <c r="C22">
        <v>20</v>
      </c>
      <c r="D22">
        <f t="shared" si="0"/>
        <v>138</v>
      </c>
      <c r="E22">
        <f t="shared" si="1"/>
        <v>96.300000000000011</v>
      </c>
    </row>
    <row r="23" spans="3:5" x14ac:dyDescent="0.25">
      <c r="C23">
        <v>21</v>
      </c>
      <c r="D23">
        <f t="shared" si="0"/>
        <v>144.4</v>
      </c>
      <c r="E23">
        <f t="shared" si="1"/>
        <v>100.7</v>
      </c>
    </row>
    <row r="24" spans="3:5" x14ac:dyDescent="0.25">
      <c r="C24">
        <v>22</v>
      </c>
      <c r="D24">
        <f t="shared" si="0"/>
        <v>150.80000000000001</v>
      </c>
      <c r="E24">
        <f t="shared" si="1"/>
        <v>105.10000000000001</v>
      </c>
    </row>
    <row r="25" spans="3:5" x14ac:dyDescent="0.25">
      <c r="C25">
        <v>23</v>
      </c>
      <c r="D25">
        <f t="shared" si="0"/>
        <v>157.20000000000002</v>
      </c>
      <c r="E25">
        <f t="shared" si="1"/>
        <v>109.50000000000001</v>
      </c>
    </row>
    <row r="26" spans="3:5" x14ac:dyDescent="0.25">
      <c r="C26">
        <v>24</v>
      </c>
      <c r="D26">
        <f t="shared" si="0"/>
        <v>163.60000000000002</v>
      </c>
      <c r="E26">
        <f t="shared" si="1"/>
        <v>113.9</v>
      </c>
    </row>
    <row r="27" spans="3:5" x14ac:dyDescent="0.25">
      <c r="C27">
        <v>25</v>
      </c>
      <c r="D27">
        <f t="shared" si="0"/>
        <v>170.00000000000003</v>
      </c>
      <c r="E27">
        <f t="shared" si="1"/>
        <v>118.30000000000001</v>
      </c>
    </row>
    <row r="28" spans="3:5" x14ac:dyDescent="0.25">
      <c r="C28">
        <v>26</v>
      </c>
      <c r="D28">
        <f t="shared" si="0"/>
        <v>176.4</v>
      </c>
      <c r="E28">
        <f t="shared" si="1"/>
        <v>122.70000000000002</v>
      </c>
    </row>
    <row r="29" spans="3:5" x14ac:dyDescent="0.25">
      <c r="C29">
        <v>27</v>
      </c>
      <c r="D29">
        <f t="shared" si="0"/>
        <v>182.8</v>
      </c>
      <c r="E29">
        <f t="shared" si="1"/>
        <v>127.10000000000001</v>
      </c>
    </row>
    <row r="30" spans="3:5" x14ac:dyDescent="0.25">
      <c r="C30">
        <v>28</v>
      </c>
      <c r="D30">
        <f t="shared" si="0"/>
        <v>189.20000000000002</v>
      </c>
      <c r="E30">
        <f t="shared" si="1"/>
        <v>131.5</v>
      </c>
    </row>
    <row r="31" spans="3:5" x14ac:dyDescent="0.25">
      <c r="C31">
        <v>29</v>
      </c>
      <c r="D31">
        <f t="shared" si="0"/>
        <v>195.60000000000002</v>
      </c>
      <c r="E31">
        <f t="shared" si="1"/>
        <v>135.9</v>
      </c>
    </row>
    <row r="32" spans="3:5" x14ac:dyDescent="0.25">
      <c r="C32">
        <v>30</v>
      </c>
      <c r="D32">
        <f t="shared" si="0"/>
        <v>202.00000000000003</v>
      </c>
      <c r="E32">
        <f t="shared" si="1"/>
        <v>140.30000000000001</v>
      </c>
    </row>
    <row r="33" spans="3:5" x14ac:dyDescent="0.25">
      <c r="C33">
        <v>31</v>
      </c>
      <c r="D33">
        <f t="shared" si="0"/>
        <v>208.4</v>
      </c>
      <c r="E33">
        <f t="shared" si="1"/>
        <v>144.69999999999999</v>
      </c>
    </row>
    <row r="34" spans="3:5" x14ac:dyDescent="0.25">
      <c r="C34">
        <v>32</v>
      </c>
      <c r="D34">
        <f t="shared" si="0"/>
        <v>214.8</v>
      </c>
      <c r="E34">
        <f t="shared" si="1"/>
        <v>149.1</v>
      </c>
    </row>
    <row r="35" spans="3:5" x14ac:dyDescent="0.25">
      <c r="C35">
        <v>33</v>
      </c>
      <c r="D35">
        <f t="shared" si="0"/>
        <v>221.20000000000002</v>
      </c>
      <c r="E35">
        <f t="shared" si="1"/>
        <v>153.5</v>
      </c>
    </row>
    <row r="36" spans="3:5" x14ac:dyDescent="0.25">
      <c r="C36">
        <v>34</v>
      </c>
      <c r="D36">
        <f t="shared" si="0"/>
        <v>227.60000000000002</v>
      </c>
      <c r="E36">
        <f t="shared" si="1"/>
        <v>157.9</v>
      </c>
    </row>
    <row r="37" spans="3:5" x14ac:dyDescent="0.25">
      <c r="C37">
        <v>35</v>
      </c>
      <c r="D37">
        <f t="shared" si="0"/>
        <v>234.00000000000003</v>
      </c>
      <c r="E37">
        <f t="shared" si="1"/>
        <v>162.30000000000001</v>
      </c>
    </row>
    <row r="38" spans="3:5" x14ac:dyDescent="0.25">
      <c r="C38">
        <v>36</v>
      </c>
      <c r="D38">
        <f t="shared" si="0"/>
        <v>240.4</v>
      </c>
      <c r="E38">
        <f t="shared" si="1"/>
        <v>166.7</v>
      </c>
    </row>
    <row r="39" spans="3:5" x14ac:dyDescent="0.25">
      <c r="C39">
        <v>37</v>
      </c>
      <c r="D39">
        <f t="shared" si="0"/>
        <v>246.8</v>
      </c>
      <c r="E39">
        <f t="shared" si="1"/>
        <v>171.1</v>
      </c>
    </row>
    <row r="40" spans="3:5" x14ac:dyDescent="0.25">
      <c r="C40">
        <v>38</v>
      </c>
      <c r="D40">
        <f t="shared" si="0"/>
        <v>253.20000000000002</v>
      </c>
      <c r="E40">
        <f t="shared" si="1"/>
        <v>175.5</v>
      </c>
    </row>
    <row r="41" spans="3:5" x14ac:dyDescent="0.25">
      <c r="C41">
        <v>39</v>
      </c>
      <c r="D41">
        <f t="shared" si="0"/>
        <v>259.60000000000002</v>
      </c>
      <c r="E41">
        <f t="shared" si="1"/>
        <v>179.9</v>
      </c>
    </row>
    <row r="42" spans="3:5" x14ac:dyDescent="0.25">
      <c r="C42">
        <v>40</v>
      </c>
      <c r="D42">
        <f t="shared" si="0"/>
        <v>266</v>
      </c>
      <c r="E42">
        <f t="shared" si="1"/>
        <v>184.3</v>
      </c>
    </row>
    <row r="43" spans="3:5" x14ac:dyDescent="0.25">
      <c r="C43">
        <v>41</v>
      </c>
      <c r="D43">
        <f t="shared" si="0"/>
        <v>272.39999999999998</v>
      </c>
      <c r="E43">
        <f t="shared" si="1"/>
        <v>188.7</v>
      </c>
    </row>
    <row r="44" spans="3:5" x14ac:dyDescent="0.25">
      <c r="C44">
        <v>42</v>
      </c>
      <c r="D44">
        <f t="shared" si="0"/>
        <v>278.8</v>
      </c>
      <c r="E44">
        <f t="shared" si="1"/>
        <v>193.1</v>
      </c>
    </row>
    <row r="45" spans="3:5" x14ac:dyDescent="0.25">
      <c r="C45">
        <v>43</v>
      </c>
      <c r="D45">
        <f t="shared" si="0"/>
        <v>285.2</v>
      </c>
      <c r="E45">
        <f t="shared" si="1"/>
        <v>197.5</v>
      </c>
    </row>
    <row r="46" spans="3:5" x14ac:dyDescent="0.25">
      <c r="C46">
        <v>44</v>
      </c>
      <c r="D46">
        <f t="shared" si="0"/>
        <v>291.59999999999997</v>
      </c>
      <c r="E46">
        <f t="shared" si="1"/>
        <v>201.9</v>
      </c>
    </row>
    <row r="47" spans="3:5" x14ac:dyDescent="0.25">
      <c r="C47">
        <v>45</v>
      </c>
      <c r="D47">
        <f t="shared" si="0"/>
        <v>298</v>
      </c>
      <c r="E47">
        <f t="shared" si="1"/>
        <v>206.3</v>
      </c>
    </row>
    <row r="48" spans="3:5" x14ac:dyDescent="0.25">
      <c r="C48">
        <v>46</v>
      </c>
      <c r="D48">
        <f t="shared" si="0"/>
        <v>304.39999999999998</v>
      </c>
      <c r="E48">
        <f t="shared" si="1"/>
        <v>210.70000000000002</v>
      </c>
    </row>
    <row r="49" spans="3:5" x14ac:dyDescent="0.25">
      <c r="C49">
        <v>47</v>
      </c>
      <c r="D49">
        <f t="shared" si="0"/>
        <v>310.8</v>
      </c>
      <c r="E49">
        <f t="shared" si="1"/>
        <v>215.1</v>
      </c>
    </row>
    <row r="50" spans="3:5" x14ac:dyDescent="0.25">
      <c r="C50">
        <v>48</v>
      </c>
      <c r="D50">
        <f t="shared" si="0"/>
        <v>317.2</v>
      </c>
      <c r="E50">
        <f t="shared" si="1"/>
        <v>219.5</v>
      </c>
    </row>
    <row r="51" spans="3:5" x14ac:dyDescent="0.25">
      <c r="C51">
        <v>49</v>
      </c>
      <c r="D51">
        <f t="shared" si="0"/>
        <v>323.60000000000002</v>
      </c>
      <c r="E51">
        <f t="shared" si="1"/>
        <v>223.9</v>
      </c>
    </row>
    <row r="52" spans="3:5" x14ac:dyDescent="0.25">
      <c r="C52">
        <v>50</v>
      </c>
      <c r="D52">
        <f t="shared" si="0"/>
        <v>330</v>
      </c>
      <c r="E52">
        <f t="shared" si="1"/>
        <v>228.3</v>
      </c>
    </row>
    <row r="53" spans="3:5" x14ac:dyDescent="0.25">
      <c r="C53">
        <v>51</v>
      </c>
      <c r="D53">
        <f t="shared" si="0"/>
        <v>336.4</v>
      </c>
      <c r="E53">
        <f t="shared" si="1"/>
        <v>232.70000000000002</v>
      </c>
    </row>
    <row r="54" spans="3:5" x14ac:dyDescent="0.25">
      <c r="C54">
        <v>52</v>
      </c>
      <c r="D54">
        <f t="shared" si="0"/>
        <v>342.8</v>
      </c>
      <c r="E54">
        <f t="shared" si="1"/>
        <v>237.1</v>
      </c>
    </row>
    <row r="55" spans="3:5" x14ac:dyDescent="0.25">
      <c r="C55">
        <v>53</v>
      </c>
      <c r="D55">
        <f t="shared" si="0"/>
        <v>349.2</v>
      </c>
      <c r="E55">
        <f t="shared" si="1"/>
        <v>241.5</v>
      </c>
    </row>
    <row r="56" spans="3:5" x14ac:dyDescent="0.25">
      <c r="C56">
        <v>54</v>
      </c>
      <c r="D56">
        <f t="shared" si="0"/>
        <v>355.6</v>
      </c>
      <c r="E56">
        <f t="shared" si="1"/>
        <v>245.9</v>
      </c>
    </row>
    <row r="57" spans="3:5" x14ac:dyDescent="0.25">
      <c r="C57">
        <v>55</v>
      </c>
      <c r="D57">
        <f t="shared" si="0"/>
        <v>362</v>
      </c>
      <c r="E57">
        <f t="shared" si="1"/>
        <v>250.3</v>
      </c>
    </row>
    <row r="58" spans="3:5" x14ac:dyDescent="0.25">
      <c r="C58">
        <v>56</v>
      </c>
      <c r="D58">
        <f t="shared" si="0"/>
        <v>368.4</v>
      </c>
      <c r="E58">
        <f t="shared" si="1"/>
        <v>254.70000000000002</v>
      </c>
    </row>
    <row r="59" spans="3:5" x14ac:dyDescent="0.25">
      <c r="C59">
        <v>57</v>
      </c>
      <c r="D59">
        <f t="shared" si="0"/>
        <v>374.8</v>
      </c>
      <c r="E59">
        <f t="shared" si="1"/>
        <v>259.10000000000002</v>
      </c>
    </row>
    <row r="60" spans="3:5" x14ac:dyDescent="0.25">
      <c r="C60">
        <v>58</v>
      </c>
      <c r="D60">
        <f t="shared" si="0"/>
        <v>381.2</v>
      </c>
      <c r="E60">
        <f t="shared" si="1"/>
        <v>263.5</v>
      </c>
    </row>
    <row r="61" spans="3:5" x14ac:dyDescent="0.25">
      <c r="C61">
        <v>59</v>
      </c>
      <c r="D61">
        <f t="shared" si="0"/>
        <v>387.6</v>
      </c>
      <c r="E61">
        <f t="shared" si="1"/>
        <v>267.90000000000003</v>
      </c>
    </row>
    <row r="62" spans="3:5" x14ac:dyDescent="0.25">
      <c r="C62">
        <v>60</v>
      </c>
      <c r="D62">
        <f t="shared" si="0"/>
        <v>394</v>
      </c>
      <c r="E62">
        <f t="shared" si="1"/>
        <v>272.3</v>
      </c>
    </row>
    <row r="63" spans="3:5" x14ac:dyDescent="0.25">
      <c r="C63">
        <v>61</v>
      </c>
      <c r="D63">
        <f t="shared" si="0"/>
        <v>400.4</v>
      </c>
      <c r="E63">
        <f t="shared" si="1"/>
        <v>276.7</v>
      </c>
    </row>
    <row r="64" spans="3:5" x14ac:dyDescent="0.25">
      <c r="C64">
        <v>62</v>
      </c>
      <c r="D64">
        <f t="shared" si="0"/>
        <v>406.8</v>
      </c>
      <c r="E64">
        <f t="shared" si="1"/>
        <v>281.10000000000002</v>
      </c>
    </row>
    <row r="65" spans="3:5" x14ac:dyDescent="0.25">
      <c r="C65">
        <v>63</v>
      </c>
      <c r="D65">
        <f t="shared" si="0"/>
        <v>413.2</v>
      </c>
      <c r="E65">
        <f t="shared" si="1"/>
        <v>285.5</v>
      </c>
    </row>
    <row r="66" spans="3:5" x14ac:dyDescent="0.25">
      <c r="C66">
        <v>64</v>
      </c>
      <c r="D66">
        <f t="shared" si="0"/>
        <v>419.6</v>
      </c>
      <c r="E66">
        <f t="shared" si="1"/>
        <v>289.90000000000003</v>
      </c>
    </row>
    <row r="67" spans="3:5" x14ac:dyDescent="0.25">
      <c r="C67">
        <v>65</v>
      </c>
      <c r="D67">
        <f t="shared" si="0"/>
        <v>426</v>
      </c>
      <c r="E67">
        <f t="shared" si="1"/>
        <v>294.3</v>
      </c>
    </row>
    <row r="68" spans="3:5" x14ac:dyDescent="0.25">
      <c r="C68">
        <v>66</v>
      </c>
      <c r="D68">
        <f t="shared" ref="D68:D131" si="2">16.4+6.4*(C68-1)</f>
        <v>432.4</v>
      </c>
      <c r="E68">
        <f t="shared" ref="E68:E131" si="3">12.7+(4.4*(C68-1))</f>
        <v>298.7</v>
      </c>
    </row>
    <row r="69" spans="3:5" x14ac:dyDescent="0.25">
      <c r="C69">
        <v>67</v>
      </c>
      <c r="D69">
        <f t="shared" si="2"/>
        <v>438.8</v>
      </c>
      <c r="E69">
        <f t="shared" si="3"/>
        <v>303.10000000000002</v>
      </c>
    </row>
    <row r="70" spans="3:5" x14ac:dyDescent="0.25">
      <c r="C70">
        <v>68</v>
      </c>
      <c r="D70">
        <f t="shared" si="2"/>
        <v>445.2</v>
      </c>
      <c r="E70">
        <f t="shared" si="3"/>
        <v>307.5</v>
      </c>
    </row>
    <row r="71" spans="3:5" x14ac:dyDescent="0.25">
      <c r="C71">
        <v>69</v>
      </c>
      <c r="D71">
        <f t="shared" si="2"/>
        <v>451.6</v>
      </c>
      <c r="E71">
        <f t="shared" si="3"/>
        <v>311.90000000000003</v>
      </c>
    </row>
    <row r="72" spans="3:5" x14ac:dyDescent="0.25">
      <c r="C72">
        <v>70</v>
      </c>
      <c r="D72">
        <f t="shared" si="2"/>
        <v>458</v>
      </c>
      <c r="E72">
        <f t="shared" si="3"/>
        <v>316.3</v>
      </c>
    </row>
    <row r="73" spans="3:5" x14ac:dyDescent="0.25">
      <c r="C73">
        <v>71</v>
      </c>
      <c r="D73">
        <f t="shared" si="2"/>
        <v>464.4</v>
      </c>
      <c r="E73">
        <f t="shared" si="3"/>
        <v>320.7</v>
      </c>
    </row>
    <row r="74" spans="3:5" x14ac:dyDescent="0.25">
      <c r="C74">
        <v>72</v>
      </c>
      <c r="D74">
        <f t="shared" si="2"/>
        <v>470.8</v>
      </c>
      <c r="E74">
        <f t="shared" si="3"/>
        <v>325.10000000000002</v>
      </c>
    </row>
    <row r="75" spans="3:5" x14ac:dyDescent="0.25">
      <c r="C75">
        <v>73</v>
      </c>
      <c r="D75">
        <f t="shared" si="2"/>
        <v>477.2</v>
      </c>
      <c r="E75">
        <f t="shared" si="3"/>
        <v>329.5</v>
      </c>
    </row>
    <row r="76" spans="3:5" x14ac:dyDescent="0.25">
      <c r="C76">
        <v>74</v>
      </c>
      <c r="D76">
        <f t="shared" si="2"/>
        <v>483.6</v>
      </c>
      <c r="E76">
        <f t="shared" si="3"/>
        <v>333.90000000000003</v>
      </c>
    </row>
    <row r="77" spans="3:5" x14ac:dyDescent="0.25">
      <c r="C77">
        <v>75</v>
      </c>
      <c r="D77">
        <f t="shared" si="2"/>
        <v>490</v>
      </c>
      <c r="E77">
        <f t="shared" si="3"/>
        <v>338.3</v>
      </c>
    </row>
    <row r="78" spans="3:5" x14ac:dyDescent="0.25">
      <c r="C78">
        <v>76</v>
      </c>
      <c r="D78">
        <f t="shared" si="2"/>
        <v>496.4</v>
      </c>
      <c r="E78">
        <f t="shared" si="3"/>
        <v>342.7</v>
      </c>
    </row>
    <row r="79" spans="3:5" x14ac:dyDescent="0.25">
      <c r="C79">
        <v>77</v>
      </c>
      <c r="D79">
        <f t="shared" si="2"/>
        <v>502.8</v>
      </c>
      <c r="E79">
        <f t="shared" si="3"/>
        <v>347.1</v>
      </c>
    </row>
    <row r="80" spans="3:5" x14ac:dyDescent="0.25">
      <c r="C80">
        <v>78</v>
      </c>
      <c r="D80">
        <f t="shared" si="2"/>
        <v>509.2</v>
      </c>
      <c r="E80">
        <f t="shared" si="3"/>
        <v>351.5</v>
      </c>
    </row>
    <row r="81" spans="3:5" x14ac:dyDescent="0.25">
      <c r="C81">
        <v>79</v>
      </c>
      <c r="D81">
        <f t="shared" si="2"/>
        <v>515.6</v>
      </c>
      <c r="E81">
        <f t="shared" si="3"/>
        <v>355.90000000000003</v>
      </c>
    </row>
    <row r="82" spans="3:5" x14ac:dyDescent="0.25">
      <c r="C82">
        <v>80</v>
      </c>
      <c r="D82">
        <f t="shared" si="2"/>
        <v>522</v>
      </c>
      <c r="E82">
        <f t="shared" si="3"/>
        <v>360.3</v>
      </c>
    </row>
    <row r="83" spans="3:5" x14ac:dyDescent="0.25">
      <c r="C83">
        <v>81</v>
      </c>
      <c r="D83">
        <f t="shared" si="2"/>
        <v>528.4</v>
      </c>
      <c r="E83">
        <f t="shared" si="3"/>
        <v>364.7</v>
      </c>
    </row>
    <row r="84" spans="3:5" x14ac:dyDescent="0.25">
      <c r="C84">
        <v>82</v>
      </c>
      <c r="D84">
        <f t="shared" si="2"/>
        <v>534.79999999999995</v>
      </c>
      <c r="E84">
        <f t="shared" si="3"/>
        <v>369.1</v>
      </c>
    </row>
    <row r="85" spans="3:5" x14ac:dyDescent="0.25">
      <c r="C85">
        <v>83</v>
      </c>
      <c r="D85">
        <f t="shared" si="2"/>
        <v>541.20000000000005</v>
      </c>
      <c r="E85">
        <f t="shared" si="3"/>
        <v>373.5</v>
      </c>
    </row>
    <row r="86" spans="3:5" x14ac:dyDescent="0.25">
      <c r="C86">
        <v>84</v>
      </c>
      <c r="D86">
        <f t="shared" si="2"/>
        <v>547.6</v>
      </c>
      <c r="E86">
        <f t="shared" si="3"/>
        <v>377.90000000000003</v>
      </c>
    </row>
    <row r="87" spans="3:5" x14ac:dyDescent="0.25">
      <c r="C87">
        <v>85</v>
      </c>
      <c r="D87">
        <f t="shared" si="2"/>
        <v>554</v>
      </c>
      <c r="E87">
        <f t="shared" si="3"/>
        <v>382.3</v>
      </c>
    </row>
    <row r="88" spans="3:5" x14ac:dyDescent="0.25">
      <c r="C88">
        <v>86</v>
      </c>
      <c r="D88">
        <f t="shared" si="2"/>
        <v>560.4</v>
      </c>
      <c r="E88">
        <f t="shared" si="3"/>
        <v>386.70000000000005</v>
      </c>
    </row>
    <row r="89" spans="3:5" x14ac:dyDescent="0.25">
      <c r="C89">
        <v>87</v>
      </c>
      <c r="D89">
        <f t="shared" si="2"/>
        <v>566.79999999999995</v>
      </c>
      <c r="E89">
        <f t="shared" si="3"/>
        <v>391.1</v>
      </c>
    </row>
    <row r="90" spans="3:5" x14ac:dyDescent="0.25">
      <c r="C90">
        <v>88</v>
      </c>
      <c r="D90">
        <f t="shared" si="2"/>
        <v>573.20000000000005</v>
      </c>
      <c r="E90">
        <f t="shared" si="3"/>
        <v>395.5</v>
      </c>
    </row>
    <row r="91" spans="3:5" x14ac:dyDescent="0.25">
      <c r="C91">
        <v>89</v>
      </c>
      <c r="D91">
        <f t="shared" si="2"/>
        <v>579.6</v>
      </c>
      <c r="E91">
        <f t="shared" si="3"/>
        <v>399.90000000000003</v>
      </c>
    </row>
    <row r="92" spans="3:5" x14ac:dyDescent="0.25">
      <c r="C92">
        <v>90</v>
      </c>
      <c r="D92">
        <f t="shared" si="2"/>
        <v>586</v>
      </c>
      <c r="E92">
        <f t="shared" si="3"/>
        <v>404.3</v>
      </c>
    </row>
    <row r="93" spans="3:5" x14ac:dyDescent="0.25">
      <c r="C93">
        <v>91</v>
      </c>
      <c r="D93">
        <f t="shared" si="2"/>
        <v>592.4</v>
      </c>
      <c r="E93">
        <f t="shared" si="3"/>
        <v>408.70000000000005</v>
      </c>
    </row>
    <row r="94" spans="3:5" x14ac:dyDescent="0.25">
      <c r="C94">
        <v>92</v>
      </c>
      <c r="D94">
        <f t="shared" si="2"/>
        <v>598.79999999999995</v>
      </c>
      <c r="E94">
        <f t="shared" si="3"/>
        <v>413.1</v>
      </c>
    </row>
    <row r="95" spans="3:5" x14ac:dyDescent="0.25">
      <c r="C95">
        <v>93</v>
      </c>
      <c r="D95">
        <f t="shared" si="2"/>
        <v>605.20000000000005</v>
      </c>
      <c r="E95">
        <f t="shared" si="3"/>
        <v>417.5</v>
      </c>
    </row>
    <row r="96" spans="3:5" x14ac:dyDescent="0.25">
      <c r="C96">
        <v>94</v>
      </c>
      <c r="D96">
        <f t="shared" si="2"/>
        <v>611.6</v>
      </c>
      <c r="E96">
        <f t="shared" si="3"/>
        <v>421.90000000000003</v>
      </c>
    </row>
    <row r="97" spans="3:5" x14ac:dyDescent="0.25">
      <c r="C97">
        <v>95</v>
      </c>
      <c r="D97">
        <f t="shared" si="2"/>
        <v>618</v>
      </c>
      <c r="E97">
        <f t="shared" si="3"/>
        <v>426.3</v>
      </c>
    </row>
    <row r="98" spans="3:5" x14ac:dyDescent="0.25">
      <c r="C98">
        <v>96</v>
      </c>
      <c r="D98">
        <f t="shared" si="2"/>
        <v>624.4</v>
      </c>
      <c r="E98">
        <f t="shared" si="3"/>
        <v>430.70000000000005</v>
      </c>
    </row>
    <row r="99" spans="3:5" x14ac:dyDescent="0.25">
      <c r="C99">
        <v>97</v>
      </c>
      <c r="D99">
        <f t="shared" si="2"/>
        <v>630.80000000000007</v>
      </c>
      <c r="E99">
        <f t="shared" si="3"/>
        <v>435.1</v>
      </c>
    </row>
    <row r="100" spans="3:5" x14ac:dyDescent="0.25">
      <c r="C100">
        <v>98</v>
      </c>
      <c r="D100">
        <f t="shared" si="2"/>
        <v>637.20000000000005</v>
      </c>
      <c r="E100">
        <f t="shared" si="3"/>
        <v>439.5</v>
      </c>
    </row>
    <row r="101" spans="3:5" x14ac:dyDescent="0.25">
      <c r="C101">
        <v>99</v>
      </c>
      <c r="D101">
        <f t="shared" si="2"/>
        <v>643.6</v>
      </c>
      <c r="E101">
        <f t="shared" si="3"/>
        <v>443.90000000000003</v>
      </c>
    </row>
    <row r="102" spans="3:5" x14ac:dyDescent="0.25">
      <c r="C102">
        <v>100</v>
      </c>
      <c r="D102">
        <f t="shared" si="2"/>
        <v>650</v>
      </c>
      <c r="E102">
        <f t="shared" si="3"/>
        <v>448.3</v>
      </c>
    </row>
    <row r="103" spans="3:5" x14ac:dyDescent="0.25">
      <c r="C103">
        <v>101</v>
      </c>
      <c r="D103">
        <f t="shared" si="2"/>
        <v>656.4</v>
      </c>
      <c r="E103">
        <f t="shared" si="3"/>
        <v>452.70000000000005</v>
      </c>
    </row>
    <row r="104" spans="3:5" x14ac:dyDescent="0.25">
      <c r="C104">
        <v>102</v>
      </c>
      <c r="D104">
        <f t="shared" si="2"/>
        <v>662.80000000000007</v>
      </c>
      <c r="E104">
        <f t="shared" si="3"/>
        <v>457.1</v>
      </c>
    </row>
    <row r="105" spans="3:5" x14ac:dyDescent="0.25">
      <c r="C105">
        <v>103</v>
      </c>
      <c r="D105">
        <f t="shared" si="2"/>
        <v>669.2</v>
      </c>
      <c r="E105">
        <f t="shared" si="3"/>
        <v>461.5</v>
      </c>
    </row>
    <row r="106" spans="3:5" x14ac:dyDescent="0.25">
      <c r="C106">
        <v>104</v>
      </c>
      <c r="D106">
        <f t="shared" si="2"/>
        <v>675.6</v>
      </c>
      <c r="E106">
        <f t="shared" si="3"/>
        <v>465.90000000000003</v>
      </c>
    </row>
    <row r="107" spans="3:5" x14ac:dyDescent="0.25">
      <c r="C107">
        <v>105</v>
      </c>
      <c r="D107">
        <f t="shared" si="2"/>
        <v>682</v>
      </c>
      <c r="E107">
        <f t="shared" si="3"/>
        <v>470.3</v>
      </c>
    </row>
    <row r="108" spans="3:5" x14ac:dyDescent="0.25">
      <c r="C108">
        <v>106</v>
      </c>
      <c r="D108">
        <f t="shared" si="2"/>
        <v>688.4</v>
      </c>
      <c r="E108">
        <f t="shared" si="3"/>
        <v>474.70000000000005</v>
      </c>
    </row>
    <row r="109" spans="3:5" x14ac:dyDescent="0.25">
      <c r="C109">
        <v>107</v>
      </c>
      <c r="D109">
        <f t="shared" si="2"/>
        <v>694.80000000000007</v>
      </c>
      <c r="E109">
        <f t="shared" si="3"/>
        <v>479.1</v>
      </c>
    </row>
    <row r="110" spans="3:5" x14ac:dyDescent="0.25">
      <c r="C110">
        <v>108</v>
      </c>
      <c r="D110">
        <f t="shared" si="2"/>
        <v>701.2</v>
      </c>
      <c r="E110">
        <f t="shared" si="3"/>
        <v>483.5</v>
      </c>
    </row>
    <row r="111" spans="3:5" x14ac:dyDescent="0.25">
      <c r="C111">
        <v>109</v>
      </c>
      <c r="D111">
        <f t="shared" si="2"/>
        <v>707.6</v>
      </c>
      <c r="E111">
        <f t="shared" si="3"/>
        <v>487.90000000000003</v>
      </c>
    </row>
    <row r="112" spans="3:5" x14ac:dyDescent="0.25">
      <c r="C112">
        <v>110</v>
      </c>
      <c r="D112">
        <f t="shared" si="2"/>
        <v>714</v>
      </c>
      <c r="E112">
        <f t="shared" si="3"/>
        <v>492.3</v>
      </c>
    </row>
    <row r="113" spans="3:5" x14ac:dyDescent="0.25">
      <c r="C113">
        <v>111</v>
      </c>
      <c r="D113">
        <f t="shared" si="2"/>
        <v>720.4</v>
      </c>
      <c r="E113">
        <f t="shared" si="3"/>
        <v>496.70000000000005</v>
      </c>
    </row>
    <row r="114" spans="3:5" x14ac:dyDescent="0.25">
      <c r="C114">
        <v>112</v>
      </c>
      <c r="D114">
        <f t="shared" si="2"/>
        <v>726.80000000000007</v>
      </c>
      <c r="E114">
        <f t="shared" si="3"/>
        <v>501.1</v>
      </c>
    </row>
    <row r="115" spans="3:5" x14ac:dyDescent="0.25">
      <c r="C115">
        <v>113</v>
      </c>
      <c r="D115">
        <f t="shared" si="2"/>
        <v>733.2</v>
      </c>
      <c r="E115">
        <f t="shared" si="3"/>
        <v>505.50000000000006</v>
      </c>
    </row>
    <row r="116" spans="3:5" x14ac:dyDescent="0.25">
      <c r="C116">
        <v>114</v>
      </c>
      <c r="D116">
        <f t="shared" si="2"/>
        <v>739.6</v>
      </c>
      <c r="E116">
        <f t="shared" si="3"/>
        <v>509.90000000000003</v>
      </c>
    </row>
    <row r="117" spans="3:5" x14ac:dyDescent="0.25">
      <c r="C117">
        <v>115</v>
      </c>
      <c r="D117">
        <f t="shared" si="2"/>
        <v>746</v>
      </c>
      <c r="E117">
        <f t="shared" si="3"/>
        <v>514.30000000000007</v>
      </c>
    </row>
    <row r="118" spans="3:5" x14ac:dyDescent="0.25">
      <c r="C118">
        <v>116</v>
      </c>
      <c r="D118">
        <f t="shared" si="2"/>
        <v>752.4</v>
      </c>
      <c r="E118">
        <f t="shared" si="3"/>
        <v>518.70000000000005</v>
      </c>
    </row>
    <row r="119" spans="3:5" x14ac:dyDescent="0.25">
      <c r="C119">
        <v>117</v>
      </c>
      <c r="D119">
        <f t="shared" si="2"/>
        <v>758.80000000000007</v>
      </c>
      <c r="E119">
        <f t="shared" si="3"/>
        <v>523.1</v>
      </c>
    </row>
    <row r="120" spans="3:5" x14ac:dyDescent="0.25">
      <c r="C120">
        <v>118</v>
      </c>
      <c r="D120">
        <f t="shared" si="2"/>
        <v>765.2</v>
      </c>
      <c r="E120">
        <f t="shared" si="3"/>
        <v>527.50000000000011</v>
      </c>
    </row>
    <row r="121" spans="3:5" x14ac:dyDescent="0.25">
      <c r="C121">
        <v>119</v>
      </c>
      <c r="D121">
        <f t="shared" si="2"/>
        <v>771.6</v>
      </c>
      <c r="E121">
        <f t="shared" si="3"/>
        <v>531.90000000000009</v>
      </c>
    </row>
    <row r="122" spans="3:5" x14ac:dyDescent="0.25">
      <c r="C122">
        <v>120</v>
      </c>
      <c r="D122">
        <f t="shared" si="2"/>
        <v>778</v>
      </c>
      <c r="E122">
        <f t="shared" si="3"/>
        <v>536.30000000000007</v>
      </c>
    </row>
    <row r="123" spans="3:5" x14ac:dyDescent="0.25">
      <c r="C123">
        <v>121</v>
      </c>
      <c r="D123">
        <f t="shared" si="2"/>
        <v>784.4</v>
      </c>
      <c r="E123">
        <f t="shared" si="3"/>
        <v>540.70000000000005</v>
      </c>
    </row>
    <row r="124" spans="3:5" x14ac:dyDescent="0.25">
      <c r="C124">
        <v>122</v>
      </c>
      <c r="D124">
        <f t="shared" si="2"/>
        <v>790.80000000000007</v>
      </c>
      <c r="E124">
        <f t="shared" si="3"/>
        <v>545.10000000000014</v>
      </c>
    </row>
    <row r="125" spans="3:5" x14ac:dyDescent="0.25">
      <c r="C125">
        <v>123</v>
      </c>
      <c r="D125">
        <f t="shared" si="2"/>
        <v>797.2</v>
      </c>
      <c r="E125">
        <f t="shared" si="3"/>
        <v>549.50000000000011</v>
      </c>
    </row>
    <row r="126" spans="3:5" x14ac:dyDescent="0.25">
      <c r="C126">
        <v>124</v>
      </c>
      <c r="D126">
        <f t="shared" si="2"/>
        <v>803.6</v>
      </c>
      <c r="E126">
        <f t="shared" si="3"/>
        <v>553.90000000000009</v>
      </c>
    </row>
    <row r="127" spans="3:5" x14ac:dyDescent="0.25">
      <c r="C127">
        <v>125</v>
      </c>
      <c r="D127">
        <f t="shared" si="2"/>
        <v>810</v>
      </c>
      <c r="E127">
        <f t="shared" si="3"/>
        <v>558.30000000000007</v>
      </c>
    </row>
    <row r="128" spans="3:5" x14ac:dyDescent="0.25">
      <c r="C128">
        <v>126</v>
      </c>
      <c r="D128">
        <f t="shared" si="2"/>
        <v>816.4</v>
      </c>
      <c r="E128">
        <f t="shared" si="3"/>
        <v>562.70000000000005</v>
      </c>
    </row>
    <row r="129" spans="3:5" x14ac:dyDescent="0.25">
      <c r="C129">
        <v>127</v>
      </c>
      <c r="D129">
        <f t="shared" si="2"/>
        <v>822.80000000000007</v>
      </c>
      <c r="E129">
        <f t="shared" si="3"/>
        <v>567.10000000000014</v>
      </c>
    </row>
    <row r="130" spans="3:5" x14ac:dyDescent="0.25">
      <c r="C130">
        <v>128</v>
      </c>
      <c r="D130">
        <f t="shared" si="2"/>
        <v>829.2</v>
      </c>
      <c r="E130">
        <f t="shared" si="3"/>
        <v>571.50000000000011</v>
      </c>
    </row>
    <row r="131" spans="3:5" x14ac:dyDescent="0.25">
      <c r="C131">
        <v>129</v>
      </c>
      <c r="D131">
        <f t="shared" si="2"/>
        <v>835.6</v>
      </c>
      <c r="E131">
        <f t="shared" si="3"/>
        <v>575.90000000000009</v>
      </c>
    </row>
    <row r="132" spans="3:5" x14ac:dyDescent="0.25">
      <c r="C132">
        <v>130</v>
      </c>
      <c r="D132">
        <f t="shared" ref="D132:D195" si="4">16.4+6.4*(C132-1)</f>
        <v>842</v>
      </c>
      <c r="E132">
        <f t="shared" ref="E132:E195" si="5">12.7+(4.4*(C132-1))</f>
        <v>580.30000000000007</v>
      </c>
    </row>
    <row r="133" spans="3:5" x14ac:dyDescent="0.25">
      <c r="C133">
        <v>131</v>
      </c>
      <c r="D133">
        <f t="shared" si="4"/>
        <v>848.4</v>
      </c>
      <c r="E133">
        <f t="shared" si="5"/>
        <v>584.70000000000005</v>
      </c>
    </row>
    <row r="134" spans="3:5" x14ac:dyDescent="0.25">
      <c r="C134">
        <v>132</v>
      </c>
      <c r="D134">
        <f t="shared" si="4"/>
        <v>854.80000000000007</v>
      </c>
      <c r="E134">
        <f t="shared" si="5"/>
        <v>589.10000000000014</v>
      </c>
    </row>
    <row r="135" spans="3:5" x14ac:dyDescent="0.25">
      <c r="C135">
        <v>133</v>
      </c>
      <c r="D135">
        <f t="shared" si="4"/>
        <v>861.2</v>
      </c>
      <c r="E135">
        <f t="shared" si="5"/>
        <v>593.50000000000011</v>
      </c>
    </row>
    <row r="136" spans="3:5" x14ac:dyDescent="0.25">
      <c r="C136">
        <v>134</v>
      </c>
      <c r="D136">
        <f t="shared" si="4"/>
        <v>867.6</v>
      </c>
      <c r="E136">
        <f t="shared" si="5"/>
        <v>597.90000000000009</v>
      </c>
    </row>
    <row r="137" spans="3:5" x14ac:dyDescent="0.25">
      <c r="C137">
        <v>135</v>
      </c>
      <c r="D137">
        <f t="shared" si="4"/>
        <v>874</v>
      </c>
      <c r="E137">
        <f t="shared" si="5"/>
        <v>602.30000000000007</v>
      </c>
    </row>
    <row r="138" spans="3:5" x14ac:dyDescent="0.25">
      <c r="C138">
        <v>136</v>
      </c>
      <c r="D138">
        <f t="shared" si="4"/>
        <v>880.4</v>
      </c>
      <c r="E138">
        <f t="shared" si="5"/>
        <v>606.70000000000005</v>
      </c>
    </row>
    <row r="139" spans="3:5" x14ac:dyDescent="0.25">
      <c r="C139">
        <v>137</v>
      </c>
      <c r="D139">
        <f t="shared" si="4"/>
        <v>886.80000000000007</v>
      </c>
      <c r="E139">
        <f t="shared" si="5"/>
        <v>611.10000000000014</v>
      </c>
    </row>
    <row r="140" spans="3:5" x14ac:dyDescent="0.25">
      <c r="C140">
        <v>138</v>
      </c>
      <c r="D140">
        <f t="shared" si="4"/>
        <v>893.2</v>
      </c>
      <c r="E140">
        <f t="shared" si="5"/>
        <v>615.50000000000011</v>
      </c>
    </row>
    <row r="141" spans="3:5" x14ac:dyDescent="0.25">
      <c r="C141">
        <v>139</v>
      </c>
      <c r="D141">
        <f t="shared" si="4"/>
        <v>899.6</v>
      </c>
      <c r="E141">
        <f t="shared" si="5"/>
        <v>619.90000000000009</v>
      </c>
    </row>
    <row r="142" spans="3:5" x14ac:dyDescent="0.25">
      <c r="C142">
        <v>140</v>
      </c>
      <c r="D142">
        <f t="shared" si="4"/>
        <v>906</v>
      </c>
      <c r="E142">
        <f t="shared" si="5"/>
        <v>624.30000000000007</v>
      </c>
    </row>
    <row r="143" spans="3:5" x14ac:dyDescent="0.25">
      <c r="C143">
        <v>141</v>
      </c>
      <c r="D143">
        <f t="shared" si="4"/>
        <v>912.4</v>
      </c>
      <c r="E143">
        <f t="shared" si="5"/>
        <v>628.70000000000005</v>
      </c>
    </row>
    <row r="144" spans="3:5" x14ac:dyDescent="0.25">
      <c r="C144">
        <v>142</v>
      </c>
      <c r="D144">
        <f t="shared" si="4"/>
        <v>918.80000000000007</v>
      </c>
      <c r="E144">
        <f t="shared" si="5"/>
        <v>633.10000000000014</v>
      </c>
    </row>
    <row r="145" spans="3:5" x14ac:dyDescent="0.25">
      <c r="C145">
        <v>143</v>
      </c>
      <c r="D145">
        <f t="shared" si="4"/>
        <v>925.2</v>
      </c>
      <c r="E145">
        <f t="shared" si="5"/>
        <v>637.50000000000011</v>
      </c>
    </row>
    <row r="146" spans="3:5" x14ac:dyDescent="0.25">
      <c r="C146">
        <v>144</v>
      </c>
      <c r="D146">
        <f t="shared" si="4"/>
        <v>931.6</v>
      </c>
      <c r="E146">
        <f t="shared" si="5"/>
        <v>641.90000000000009</v>
      </c>
    </row>
    <row r="147" spans="3:5" x14ac:dyDescent="0.25">
      <c r="C147">
        <v>145</v>
      </c>
      <c r="D147">
        <f t="shared" si="4"/>
        <v>938</v>
      </c>
      <c r="E147">
        <f t="shared" si="5"/>
        <v>646.30000000000007</v>
      </c>
    </row>
    <row r="148" spans="3:5" x14ac:dyDescent="0.25">
      <c r="C148">
        <v>146</v>
      </c>
      <c r="D148">
        <f t="shared" si="4"/>
        <v>944.4</v>
      </c>
      <c r="E148">
        <f t="shared" si="5"/>
        <v>650.70000000000005</v>
      </c>
    </row>
    <row r="149" spans="3:5" x14ac:dyDescent="0.25">
      <c r="C149">
        <v>147</v>
      </c>
      <c r="D149">
        <f t="shared" si="4"/>
        <v>950.80000000000007</v>
      </c>
      <c r="E149">
        <f t="shared" si="5"/>
        <v>655.10000000000014</v>
      </c>
    </row>
    <row r="150" spans="3:5" x14ac:dyDescent="0.25">
      <c r="C150">
        <v>148</v>
      </c>
      <c r="D150">
        <f t="shared" si="4"/>
        <v>957.2</v>
      </c>
      <c r="E150">
        <f t="shared" si="5"/>
        <v>659.50000000000011</v>
      </c>
    </row>
    <row r="151" spans="3:5" x14ac:dyDescent="0.25">
      <c r="C151">
        <v>149</v>
      </c>
      <c r="D151">
        <f t="shared" si="4"/>
        <v>963.6</v>
      </c>
      <c r="E151">
        <f t="shared" si="5"/>
        <v>663.90000000000009</v>
      </c>
    </row>
    <row r="152" spans="3:5" x14ac:dyDescent="0.25">
      <c r="C152">
        <v>150</v>
      </c>
      <c r="D152">
        <f t="shared" si="4"/>
        <v>970</v>
      </c>
      <c r="E152">
        <f t="shared" si="5"/>
        <v>668.30000000000007</v>
      </c>
    </row>
    <row r="153" spans="3:5" x14ac:dyDescent="0.25">
      <c r="C153">
        <v>151</v>
      </c>
      <c r="D153">
        <f t="shared" si="4"/>
        <v>976.4</v>
      </c>
      <c r="E153">
        <f t="shared" si="5"/>
        <v>672.7</v>
      </c>
    </row>
    <row r="154" spans="3:5" x14ac:dyDescent="0.25">
      <c r="C154">
        <v>152</v>
      </c>
      <c r="D154">
        <f t="shared" si="4"/>
        <v>982.80000000000007</v>
      </c>
      <c r="E154">
        <f t="shared" si="5"/>
        <v>677.10000000000014</v>
      </c>
    </row>
    <row r="155" spans="3:5" x14ac:dyDescent="0.25">
      <c r="C155">
        <v>153</v>
      </c>
      <c r="D155">
        <f t="shared" si="4"/>
        <v>989.2</v>
      </c>
      <c r="E155">
        <f t="shared" si="5"/>
        <v>681.50000000000011</v>
      </c>
    </row>
    <row r="156" spans="3:5" x14ac:dyDescent="0.25">
      <c r="C156">
        <v>154</v>
      </c>
      <c r="D156">
        <f t="shared" si="4"/>
        <v>995.6</v>
      </c>
      <c r="E156">
        <f t="shared" si="5"/>
        <v>685.90000000000009</v>
      </c>
    </row>
    <row r="157" spans="3:5" x14ac:dyDescent="0.25">
      <c r="C157">
        <v>155</v>
      </c>
      <c r="D157">
        <f t="shared" si="4"/>
        <v>1002</v>
      </c>
      <c r="E157">
        <f t="shared" si="5"/>
        <v>690.30000000000007</v>
      </c>
    </row>
    <row r="158" spans="3:5" x14ac:dyDescent="0.25">
      <c r="C158">
        <v>156</v>
      </c>
      <c r="D158">
        <f t="shared" si="4"/>
        <v>1008.4</v>
      </c>
      <c r="E158">
        <f t="shared" si="5"/>
        <v>694.7</v>
      </c>
    </row>
    <row r="159" spans="3:5" x14ac:dyDescent="0.25">
      <c r="C159">
        <v>157</v>
      </c>
      <c r="D159">
        <f t="shared" si="4"/>
        <v>1014.8000000000001</v>
      </c>
      <c r="E159">
        <f t="shared" si="5"/>
        <v>699.10000000000014</v>
      </c>
    </row>
    <row r="160" spans="3:5" x14ac:dyDescent="0.25">
      <c r="C160">
        <v>158</v>
      </c>
      <c r="D160">
        <f t="shared" si="4"/>
        <v>1021.2</v>
      </c>
      <c r="E160">
        <f t="shared" si="5"/>
        <v>703.50000000000011</v>
      </c>
    </row>
    <row r="161" spans="3:5" x14ac:dyDescent="0.25">
      <c r="C161">
        <v>159</v>
      </c>
      <c r="D161">
        <f t="shared" si="4"/>
        <v>1027.6000000000001</v>
      </c>
      <c r="E161">
        <f t="shared" si="5"/>
        <v>707.90000000000009</v>
      </c>
    </row>
    <row r="162" spans="3:5" x14ac:dyDescent="0.25">
      <c r="C162">
        <v>160</v>
      </c>
      <c r="D162">
        <f t="shared" si="4"/>
        <v>1034</v>
      </c>
      <c r="E162">
        <f t="shared" si="5"/>
        <v>712.30000000000007</v>
      </c>
    </row>
    <row r="163" spans="3:5" x14ac:dyDescent="0.25">
      <c r="C163">
        <v>161</v>
      </c>
      <c r="D163">
        <f t="shared" si="4"/>
        <v>1040.4000000000001</v>
      </c>
      <c r="E163">
        <f t="shared" si="5"/>
        <v>716.7</v>
      </c>
    </row>
    <row r="164" spans="3:5" x14ac:dyDescent="0.25">
      <c r="C164">
        <v>162</v>
      </c>
      <c r="D164">
        <f t="shared" si="4"/>
        <v>1046.8000000000002</v>
      </c>
      <c r="E164">
        <f t="shared" si="5"/>
        <v>721.10000000000014</v>
      </c>
    </row>
    <row r="165" spans="3:5" x14ac:dyDescent="0.25">
      <c r="C165">
        <v>163</v>
      </c>
      <c r="D165">
        <f t="shared" si="4"/>
        <v>1053.2</v>
      </c>
      <c r="E165">
        <f t="shared" si="5"/>
        <v>725.50000000000011</v>
      </c>
    </row>
    <row r="166" spans="3:5" x14ac:dyDescent="0.25">
      <c r="C166">
        <v>164</v>
      </c>
      <c r="D166">
        <f t="shared" si="4"/>
        <v>1059.6000000000001</v>
      </c>
      <c r="E166">
        <f t="shared" si="5"/>
        <v>729.90000000000009</v>
      </c>
    </row>
    <row r="167" spans="3:5" x14ac:dyDescent="0.25">
      <c r="C167">
        <v>165</v>
      </c>
      <c r="D167">
        <f t="shared" si="4"/>
        <v>1066.0000000000002</v>
      </c>
      <c r="E167">
        <f t="shared" si="5"/>
        <v>734.30000000000007</v>
      </c>
    </row>
    <row r="168" spans="3:5" x14ac:dyDescent="0.25">
      <c r="C168">
        <v>166</v>
      </c>
      <c r="D168">
        <f t="shared" si="4"/>
        <v>1072.4000000000001</v>
      </c>
      <c r="E168">
        <f t="shared" si="5"/>
        <v>738.70000000000016</v>
      </c>
    </row>
    <row r="169" spans="3:5" x14ac:dyDescent="0.25">
      <c r="C169">
        <v>167</v>
      </c>
      <c r="D169">
        <f t="shared" si="4"/>
        <v>1078.8000000000002</v>
      </c>
      <c r="E169">
        <f t="shared" si="5"/>
        <v>743.10000000000014</v>
      </c>
    </row>
    <row r="170" spans="3:5" x14ac:dyDescent="0.25">
      <c r="C170">
        <v>168</v>
      </c>
      <c r="D170">
        <f t="shared" si="4"/>
        <v>1085.2</v>
      </c>
      <c r="E170">
        <f t="shared" si="5"/>
        <v>747.50000000000011</v>
      </c>
    </row>
    <row r="171" spans="3:5" x14ac:dyDescent="0.25">
      <c r="C171">
        <v>169</v>
      </c>
      <c r="D171">
        <f t="shared" si="4"/>
        <v>1091.6000000000001</v>
      </c>
      <c r="E171">
        <f t="shared" si="5"/>
        <v>751.90000000000009</v>
      </c>
    </row>
    <row r="172" spans="3:5" x14ac:dyDescent="0.25">
      <c r="C172">
        <v>170</v>
      </c>
      <c r="D172">
        <f t="shared" si="4"/>
        <v>1098.0000000000002</v>
      </c>
      <c r="E172">
        <f t="shared" si="5"/>
        <v>756.30000000000007</v>
      </c>
    </row>
    <row r="173" spans="3:5" x14ac:dyDescent="0.25">
      <c r="C173">
        <v>171</v>
      </c>
      <c r="D173">
        <f t="shared" si="4"/>
        <v>1104.4000000000001</v>
      </c>
      <c r="E173">
        <f t="shared" si="5"/>
        <v>760.70000000000016</v>
      </c>
    </row>
    <row r="174" spans="3:5" x14ac:dyDescent="0.25">
      <c r="C174">
        <v>172</v>
      </c>
      <c r="D174">
        <f t="shared" si="4"/>
        <v>1110.8000000000002</v>
      </c>
      <c r="E174">
        <f t="shared" si="5"/>
        <v>765.10000000000014</v>
      </c>
    </row>
    <row r="175" spans="3:5" x14ac:dyDescent="0.25">
      <c r="C175">
        <v>173</v>
      </c>
      <c r="D175">
        <f t="shared" si="4"/>
        <v>1117.2</v>
      </c>
      <c r="E175">
        <f t="shared" si="5"/>
        <v>769.50000000000011</v>
      </c>
    </row>
    <row r="176" spans="3:5" x14ac:dyDescent="0.25">
      <c r="C176">
        <v>174</v>
      </c>
      <c r="D176">
        <f t="shared" si="4"/>
        <v>1123.6000000000001</v>
      </c>
      <c r="E176">
        <f t="shared" si="5"/>
        <v>773.90000000000009</v>
      </c>
    </row>
    <row r="177" spans="3:5" x14ac:dyDescent="0.25">
      <c r="C177">
        <v>175</v>
      </c>
      <c r="D177">
        <f t="shared" si="4"/>
        <v>1130.0000000000002</v>
      </c>
      <c r="E177">
        <f t="shared" si="5"/>
        <v>778.30000000000007</v>
      </c>
    </row>
    <row r="178" spans="3:5" x14ac:dyDescent="0.25">
      <c r="C178">
        <v>176</v>
      </c>
      <c r="D178">
        <f t="shared" si="4"/>
        <v>1136.4000000000001</v>
      </c>
      <c r="E178">
        <f t="shared" si="5"/>
        <v>782.70000000000016</v>
      </c>
    </row>
    <row r="179" spans="3:5" x14ac:dyDescent="0.25">
      <c r="C179">
        <v>177</v>
      </c>
      <c r="D179">
        <f t="shared" si="4"/>
        <v>1142.8000000000002</v>
      </c>
      <c r="E179">
        <f t="shared" si="5"/>
        <v>787.10000000000014</v>
      </c>
    </row>
    <row r="180" spans="3:5" x14ac:dyDescent="0.25">
      <c r="C180">
        <v>178</v>
      </c>
      <c r="D180">
        <f t="shared" si="4"/>
        <v>1149.2</v>
      </c>
      <c r="E180">
        <f t="shared" si="5"/>
        <v>791.50000000000011</v>
      </c>
    </row>
    <row r="181" spans="3:5" x14ac:dyDescent="0.25">
      <c r="C181">
        <v>179</v>
      </c>
      <c r="D181">
        <f t="shared" si="4"/>
        <v>1155.6000000000001</v>
      </c>
      <c r="E181">
        <f t="shared" si="5"/>
        <v>795.90000000000009</v>
      </c>
    </row>
    <row r="182" spans="3:5" x14ac:dyDescent="0.25">
      <c r="C182">
        <v>180</v>
      </c>
      <c r="D182">
        <f t="shared" si="4"/>
        <v>1162.0000000000002</v>
      </c>
      <c r="E182">
        <f t="shared" si="5"/>
        <v>800.30000000000007</v>
      </c>
    </row>
    <row r="183" spans="3:5" x14ac:dyDescent="0.25">
      <c r="C183">
        <v>181</v>
      </c>
      <c r="D183">
        <f t="shared" si="4"/>
        <v>1168.4000000000001</v>
      </c>
      <c r="E183">
        <f t="shared" si="5"/>
        <v>804.70000000000016</v>
      </c>
    </row>
    <row r="184" spans="3:5" x14ac:dyDescent="0.25">
      <c r="C184">
        <v>182</v>
      </c>
      <c r="D184">
        <f t="shared" si="4"/>
        <v>1174.8000000000002</v>
      </c>
      <c r="E184">
        <f t="shared" si="5"/>
        <v>809.10000000000014</v>
      </c>
    </row>
    <row r="185" spans="3:5" x14ac:dyDescent="0.25">
      <c r="C185">
        <v>183</v>
      </c>
      <c r="D185">
        <f t="shared" si="4"/>
        <v>1181.2</v>
      </c>
      <c r="E185">
        <f t="shared" si="5"/>
        <v>813.50000000000011</v>
      </c>
    </row>
    <row r="186" spans="3:5" x14ac:dyDescent="0.25">
      <c r="C186">
        <v>184</v>
      </c>
      <c r="D186">
        <f t="shared" si="4"/>
        <v>1187.6000000000001</v>
      </c>
      <c r="E186">
        <f t="shared" si="5"/>
        <v>817.90000000000009</v>
      </c>
    </row>
    <row r="187" spans="3:5" x14ac:dyDescent="0.25">
      <c r="C187">
        <v>185</v>
      </c>
      <c r="D187">
        <f t="shared" si="4"/>
        <v>1194.0000000000002</v>
      </c>
      <c r="E187">
        <f t="shared" si="5"/>
        <v>822.30000000000007</v>
      </c>
    </row>
    <row r="188" spans="3:5" x14ac:dyDescent="0.25">
      <c r="C188">
        <v>186</v>
      </c>
      <c r="D188">
        <f t="shared" si="4"/>
        <v>1200.4000000000001</v>
      </c>
      <c r="E188">
        <f t="shared" si="5"/>
        <v>826.70000000000016</v>
      </c>
    </row>
    <row r="189" spans="3:5" x14ac:dyDescent="0.25">
      <c r="C189">
        <v>187</v>
      </c>
      <c r="D189">
        <f t="shared" si="4"/>
        <v>1206.8000000000002</v>
      </c>
      <c r="E189">
        <f t="shared" si="5"/>
        <v>831.10000000000014</v>
      </c>
    </row>
    <row r="190" spans="3:5" x14ac:dyDescent="0.25">
      <c r="C190">
        <v>188</v>
      </c>
      <c r="D190">
        <f t="shared" si="4"/>
        <v>1213.2</v>
      </c>
      <c r="E190">
        <f t="shared" si="5"/>
        <v>835.50000000000011</v>
      </c>
    </row>
    <row r="191" spans="3:5" x14ac:dyDescent="0.25">
      <c r="C191">
        <v>189</v>
      </c>
      <c r="D191">
        <f t="shared" si="4"/>
        <v>1219.6000000000001</v>
      </c>
      <c r="E191">
        <f t="shared" si="5"/>
        <v>839.90000000000009</v>
      </c>
    </row>
    <row r="192" spans="3:5" x14ac:dyDescent="0.25">
      <c r="C192">
        <v>190</v>
      </c>
      <c r="D192">
        <f t="shared" si="4"/>
        <v>1226.0000000000002</v>
      </c>
      <c r="E192">
        <f t="shared" si="5"/>
        <v>844.30000000000007</v>
      </c>
    </row>
    <row r="193" spans="3:5" x14ac:dyDescent="0.25">
      <c r="C193">
        <v>191</v>
      </c>
      <c r="D193">
        <f t="shared" si="4"/>
        <v>1232.4000000000001</v>
      </c>
      <c r="E193">
        <f t="shared" si="5"/>
        <v>848.70000000000016</v>
      </c>
    </row>
    <row r="194" spans="3:5" x14ac:dyDescent="0.25">
      <c r="C194">
        <v>192</v>
      </c>
      <c r="D194">
        <f t="shared" si="4"/>
        <v>1238.8000000000002</v>
      </c>
      <c r="E194">
        <f t="shared" si="5"/>
        <v>853.10000000000014</v>
      </c>
    </row>
    <row r="195" spans="3:5" x14ac:dyDescent="0.25">
      <c r="C195">
        <v>193</v>
      </c>
      <c r="D195">
        <f t="shared" si="4"/>
        <v>1245.2000000000003</v>
      </c>
      <c r="E195">
        <f t="shared" si="5"/>
        <v>857.50000000000011</v>
      </c>
    </row>
    <row r="196" spans="3:5" x14ac:dyDescent="0.25">
      <c r="C196">
        <v>194</v>
      </c>
      <c r="D196">
        <f t="shared" ref="D196:D257" si="6">16.4+6.4*(C196-1)</f>
        <v>1251.6000000000001</v>
      </c>
      <c r="E196">
        <f t="shared" ref="E196:E257" si="7">12.7+(4.4*(C196-1))</f>
        <v>861.90000000000009</v>
      </c>
    </row>
    <row r="197" spans="3:5" x14ac:dyDescent="0.25">
      <c r="C197">
        <v>195</v>
      </c>
      <c r="D197">
        <f t="shared" si="6"/>
        <v>1258.0000000000002</v>
      </c>
      <c r="E197">
        <f t="shared" si="7"/>
        <v>866.30000000000007</v>
      </c>
    </row>
    <row r="198" spans="3:5" x14ac:dyDescent="0.25">
      <c r="C198">
        <v>196</v>
      </c>
      <c r="D198">
        <f t="shared" si="6"/>
        <v>1264.4000000000001</v>
      </c>
      <c r="E198">
        <f t="shared" si="7"/>
        <v>870.70000000000016</v>
      </c>
    </row>
    <row r="199" spans="3:5" x14ac:dyDescent="0.25">
      <c r="C199">
        <v>197</v>
      </c>
      <c r="D199">
        <f t="shared" si="6"/>
        <v>1270.8000000000002</v>
      </c>
      <c r="E199">
        <f t="shared" si="7"/>
        <v>875.10000000000014</v>
      </c>
    </row>
    <row r="200" spans="3:5" x14ac:dyDescent="0.25">
      <c r="C200">
        <v>198</v>
      </c>
      <c r="D200">
        <f t="shared" si="6"/>
        <v>1277.2000000000003</v>
      </c>
      <c r="E200">
        <f t="shared" si="7"/>
        <v>879.50000000000011</v>
      </c>
    </row>
    <row r="201" spans="3:5" x14ac:dyDescent="0.25">
      <c r="C201">
        <v>199</v>
      </c>
      <c r="D201">
        <f t="shared" si="6"/>
        <v>1283.6000000000001</v>
      </c>
      <c r="E201">
        <f t="shared" si="7"/>
        <v>883.90000000000009</v>
      </c>
    </row>
    <row r="202" spans="3:5" x14ac:dyDescent="0.25">
      <c r="C202">
        <v>200</v>
      </c>
      <c r="D202">
        <f t="shared" si="6"/>
        <v>1290.0000000000002</v>
      </c>
      <c r="E202">
        <f t="shared" si="7"/>
        <v>888.30000000000007</v>
      </c>
    </row>
    <row r="203" spans="3:5" x14ac:dyDescent="0.25">
      <c r="C203">
        <v>201</v>
      </c>
      <c r="D203">
        <f t="shared" si="6"/>
        <v>1296.4000000000001</v>
      </c>
      <c r="E203">
        <f t="shared" si="7"/>
        <v>892.70000000000016</v>
      </c>
    </row>
    <row r="204" spans="3:5" x14ac:dyDescent="0.25">
      <c r="C204">
        <v>202</v>
      </c>
      <c r="D204">
        <f t="shared" si="6"/>
        <v>1302.8000000000002</v>
      </c>
      <c r="E204">
        <f t="shared" si="7"/>
        <v>897.10000000000014</v>
      </c>
    </row>
    <row r="205" spans="3:5" x14ac:dyDescent="0.25">
      <c r="C205">
        <v>203</v>
      </c>
      <c r="D205">
        <f t="shared" si="6"/>
        <v>1309.2000000000003</v>
      </c>
      <c r="E205">
        <f t="shared" si="7"/>
        <v>901.50000000000011</v>
      </c>
    </row>
    <row r="206" spans="3:5" x14ac:dyDescent="0.25">
      <c r="C206">
        <v>204</v>
      </c>
      <c r="D206">
        <f t="shared" si="6"/>
        <v>1315.6000000000001</v>
      </c>
      <c r="E206">
        <f t="shared" si="7"/>
        <v>905.90000000000009</v>
      </c>
    </row>
    <row r="207" spans="3:5" x14ac:dyDescent="0.25">
      <c r="C207">
        <v>205</v>
      </c>
      <c r="D207">
        <f t="shared" si="6"/>
        <v>1322.0000000000002</v>
      </c>
      <c r="E207">
        <f t="shared" si="7"/>
        <v>910.30000000000007</v>
      </c>
    </row>
    <row r="208" spans="3:5" x14ac:dyDescent="0.25">
      <c r="C208">
        <v>206</v>
      </c>
      <c r="D208">
        <f t="shared" si="6"/>
        <v>1328.4</v>
      </c>
      <c r="E208">
        <f t="shared" si="7"/>
        <v>914.70000000000016</v>
      </c>
    </row>
    <row r="209" spans="3:5" x14ac:dyDescent="0.25">
      <c r="C209">
        <v>207</v>
      </c>
      <c r="D209">
        <f t="shared" si="6"/>
        <v>1334.8000000000002</v>
      </c>
      <c r="E209">
        <f t="shared" si="7"/>
        <v>919.10000000000014</v>
      </c>
    </row>
    <row r="210" spans="3:5" x14ac:dyDescent="0.25">
      <c r="C210">
        <v>208</v>
      </c>
      <c r="D210">
        <f t="shared" si="6"/>
        <v>1341.2000000000003</v>
      </c>
      <c r="E210">
        <f t="shared" si="7"/>
        <v>923.50000000000011</v>
      </c>
    </row>
    <row r="211" spans="3:5" x14ac:dyDescent="0.25">
      <c r="C211">
        <v>209</v>
      </c>
      <c r="D211">
        <f t="shared" si="6"/>
        <v>1347.6000000000001</v>
      </c>
      <c r="E211">
        <f t="shared" si="7"/>
        <v>927.90000000000009</v>
      </c>
    </row>
    <row r="212" spans="3:5" x14ac:dyDescent="0.25">
      <c r="C212">
        <v>210</v>
      </c>
      <c r="D212">
        <f t="shared" si="6"/>
        <v>1354.0000000000002</v>
      </c>
      <c r="E212">
        <f t="shared" si="7"/>
        <v>932.30000000000007</v>
      </c>
    </row>
    <row r="213" spans="3:5" x14ac:dyDescent="0.25">
      <c r="C213">
        <v>211</v>
      </c>
      <c r="D213">
        <f t="shared" si="6"/>
        <v>1360.4</v>
      </c>
      <c r="E213">
        <f t="shared" si="7"/>
        <v>936.70000000000016</v>
      </c>
    </row>
    <row r="214" spans="3:5" x14ac:dyDescent="0.25">
      <c r="C214">
        <v>212</v>
      </c>
      <c r="D214">
        <f t="shared" si="6"/>
        <v>1366.8000000000002</v>
      </c>
      <c r="E214">
        <f t="shared" si="7"/>
        <v>941.10000000000014</v>
      </c>
    </row>
    <row r="215" spans="3:5" x14ac:dyDescent="0.25">
      <c r="C215">
        <v>213</v>
      </c>
      <c r="D215">
        <f t="shared" si="6"/>
        <v>1373.2000000000003</v>
      </c>
      <c r="E215">
        <f t="shared" si="7"/>
        <v>945.50000000000011</v>
      </c>
    </row>
    <row r="216" spans="3:5" x14ac:dyDescent="0.25">
      <c r="C216">
        <v>214</v>
      </c>
      <c r="D216">
        <f t="shared" si="6"/>
        <v>1379.6000000000001</v>
      </c>
      <c r="E216">
        <f t="shared" si="7"/>
        <v>949.90000000000009</v>
      </c>
    </row>
    <row r="217" spans="3:5" x14ac:dyDescent="0.25">
      <c r="C217">
        <v>215</v>
      </c>
      <c r="D217">
        <f t="shared" si="6"/>
        <v>1386.0000000000002</v>
      </c>
      <c r="E217">
        <f t="shared" si="7"/>
        <v>954.30000000000007</v>
      </c>
    </row>
    <row r="218" spans="3:5" x14ac:dyDescent="0.25">
      <c r="C218">
        <v>216</v>
      </c>
      <c r="D218">
        <f t="shared" si="6"/>
        <v>1392.4</v>
      </c>
      <c r="E218">
        <f t="shared" si="7"/>
        <v>958.70000000000016</v>
      </c>
    </row>
    <row r="219" spans="3:5" x14ac:dyDescent="0.25">
      <c r="C219">
        <v>217</v>
      </c>
      <c r="D219">
        <f t="shared" si="6"/>
        <v>1398.8000000000002</v>
      </c>
      <c r="E219">
        <f t="shared" si="7"/>
        <v>963.10000000000014</v>
      </c>
    </row>
    <row r="220" spans="3:5" x14ac:dyDescent="0.25">
      <c r="C220">
        <v>218</v>
      </c>
      <c r="D220">
        <f t="shared" si="6"/>
        <v>1405.2000000000003</v>
      </c>
      <c r="E220">
        <f t="shared" si="7"/>
        <v>967.50000000000011</v>
      </c>
    </row>
    <row r="221" spans="3:5" x14ac:dyDescent="0.25">
      <c r="C221">
        <v>219</v>
      </c>
      <c r="D221">
        <f t="shared" si="6"/>
        <v>1411.6000000000001</v>
      </c>
      <c r="E221">
        <f t="shared" si="7"/>
        <v>971.90000000000009</v>
      </c>
    </row>
    <row r="222" spans="3:5" x14ac:dyDescent="0.25">
      <c r="C222">
        <v>220</v>
      </c>
      <c r="D222">
        <f t="shared" si="6"/>
        <v>1418.0000000000002</v>
      </c>
      <c r="E222">
        <f t="shared" si="7"/>
        <v>976.30000000000007</v>
      </c>
    </row>
    <row r="223" spans="3:5" x14ac:dyDescent="0.25">
      <c r="C223">
        <v>221</v>
      </c>
      <c r="D223">
        <f t="shared" si="6"/>
        <v>1424.4</v>
      </c>
      <c r="E223">
        <f t="shared" si="7"/>
        <v>980.70000000000016</v>
      </c>
    </row>
    <row r="224" spans="3:5" x14ac:dyDescent="0.25">
      <c r="C224">
        <v>222</v>
      </c>
      <c r="D224">
        <f t="shared" si="6"/>
        <v>1430.8000000000002</v>
      </c>
      <c r="E224">
        <f t="shared" si="7"/>
        <v>985.10000000000014</v>
      </c>
    </row>
    <row r="225" spans="3:5" x14ac:dyDescent="0.25">
      <c r="C225">
        <v>223</v>
      </c>
      <c r="D225">
        <f t="shared" si="6"/>
        <v>1437.2000000000003</v>
      </c>
      <c r="E225">
        <f t="shared" si="7"/>
        <v>989.50000000000011</v>
      </c>
    </row>
    <row r="226" spans="3:5" x14ac:dyDescent="0.25">
      <c r="C226">
        <v>224</v>
      </c>
      <c r="D226">
        <f t="shared" si="6"/>
        <v>1443.6000000000001</v>
      </c>
      <c r="E226">
        <f t="shared" si="7"/>
        <v>993.90000000000009</v>
      </c>
    </row>
    <row r="227" spans="3:5" x14ac:dyDescent="0.25">
      <c r="C227">
        <v>225</v>
      </c>
      <c r="D227">
        <f t="shared" si="6"/>
        <v>1450.0000000000002</v>
      </c>
      <c r="E227">
        <f t="shared" si="7"/>
        <v>998.30000000000018</v>
      </c>
    </row>
    <row r="228" spans="3:5" x14ac:dyDescent="0.25">
      <c r="C228">
        <v>226</v>
      </c>
      <c r="D228">
        <f t="shared" si="6"/>
        <v>1456.4</v>
      </c>
      <c r="E228">
        <f t="shared" si="7"/>
        <v>1002.7000000000002</v>
      </c>
    </row>
    <row r="229" spans="3:5" x14ac:dyDescent="0.25">
      <c r="C229">
        <v>227</v>
      </c>
      <c r="D229">
        <f t="shared" si="6"/>
        <v>1462.8000000000002</v>
      </c>
      <c r="E229">
        <f t="shared" si="7"/>
        <v>1007.1000000000001</v>
      </c>
    </row>
    <row r="230" spans="3:5" x14ac:dyDescent="0.25">
      <c r="C230">
        <v>228</v>
      </c>
      <c r="D230">
        <f t="shared" si="6"/>
        <v>1469.2000000000003</v>
      </c>
      <c r="E230">
        <f t="shared" si="7"/>
        <v>1011.5000000000001</v>
      </c>
    </row>
    <row r="231" spans="3:5" x14ac:dyDescent="0.25">
      <c r="C231">
        <v>229</v>
      </c>
      <c r="D231">
        <f t="shared" si="6"/>
        <v>1475.6000000000001</v>
      </c>
      <c r="E231">
        <f t="shared" si="7"/>
        <v>1015.9000000000001</v>
      </c>
    </row>
    <row r="232" spans="3:5" x14ac:dyDescent="0.25">
      <c r="C232">
        <v>230</v>
      </c>
      <c r="D232">
        <f t="shared" si="6"/>
        <v>1482.0000000000002</v>
      </c>
      <c r="E232">
        <f t="shared" si="7"/>
        <v>1020.3000000000002</v>
      </c>
    </row>
    <row r="233" spans="3:5" x14ac:dyDescent="0.25">
      <c r="C233">
        <v>231</v>
      </c>
      <c r="D233">
        <f t="shared" si="6"/>
        <v>1488.4</v>
      </c>
      <c r="E233">
        <f t="shared" si="7"/>
        <v>1024.7</v>
      </c>
    </row>
    <row r="234" spans="3:5" x14ac:dyDescent="0.25">
      <c r="C234">
        <v>232</v>
      </c>
      <c r="D234">
        <f t="shared" si="6"/>
        <v>1494.8000000000002</v>
      </c>
      <c r="E234">
        <f t="shared" si="7"/>
        <v>1029.1000000000001</v>
      </c>
    </row>
    <row r="235" spans="3:5" x14ac:dyDescent="0.25">
      <c r="C235">
        <v>233</v>
      </c>
      <c r="D235">
        <f t="shared" si="6"/>
        <v>1501.2000000000003</v>
      </c>
      <c r="E235">
        <f t="shared" si="7"/>
        <v>1033.5</v>
      </c>
    </row>
    <row r="236" spans="3:5" x14ac:dyDescent="0.25">
      <c r="C236">
        <v>234</v>
      </c>
      <c r="D236">
        <f t="shared" si="6"/>
        <v>1507.6000000000001</v>
      </c>
      <c r="E236">
        <f t="shared" si="7"/>
        <v>1037.9000000000001</v>
      </c>
    </row>
    <row r="237" spans="3:5" x14ac:dyDescent="0.25">
      <c r="C237">
        <v>235</v>
      </c>
      <c r="D237">
        <f t="shared" si="6"/>
        <v>1514.0000000000002</v>
      </c>
      <c r="E237">
        <f t="shared" si="7"/>
        <v>1042.3000000000002</v>
      </c>
    </row>
    <row r="238" spans="3:5" x14ac:dyDescent="0.25">
      <c r="C238">
        <v>236</v>
      </c>
      <c r="D238">
        <f t="shared" si="6"/>
        <v>1520.4</v>
      </c>
      <c r="E238">
        <f t="shared" si="7"/>
        <v>1046.7</v>
      </c>
    </row>
    <row r="239" spans="3:5" x14ac:dyDescent="0.25">
      <c r="C239">
        <v>237</v>
      </c>
      <c r="D239">
        <f t="shared" si="6"/>
        <v>1526.8000000000002</v>
      </c>
      <c r="E239">
        <f t="shared" si="7"/>
        <v>1051.1000000000001</v>
      </c>
    </row>
    <row r="240" spans="3:5" x14ac:dyDescent="0.25">
      <c r="C240">
        <v>238</v>
      </c>
      <c r="D240">
        <f t="shared" si="6"/>
        <v>1533.2000000000003</v>
      </c>
      <c r="E240">
        <f t="shared" si="7"/>
        <v>1055.5000000000002</v>
      </c>
    </row>
    <row r="241" spans="3:5" x14ac:dyDescent="0.25">
      <c r="C241">
        <v>239</v>
      </c>
      <c r="D241">
        <f t="shared" si="6"/>
        <v>1539.6000000000001</v>
      </c>
      <c r="E241">
        <f t="shared" si="7"/>
        <v>1059.9000000000001</v>
      </c>
    </row>
    <row r="242" spans="3:5" x14ac:dyDescent="0.25">
      <c r="C242">
        <v>240</v>
      </c>
      <c r="D242">
        <f t="shared" si="6"/>
        <v>1546.0000000000002</v>
      </c>
      <c r="E242">
        <f t="shared" si="7"/>
        <v>1064.3000000000002</v>
      </c>
    </row>
    <row r="243" spans="3:5" x14ac:dyDescent="0.25">
      <c r="C243">
        <v>241</v>
      </c>
      <c r="D243">
        <f t="shared" si="6"/>
        <v>1552.4</v>
      </c>
      <c r="E243">
        <f t="shared" si="7"/>
        <v>1068.7</v>
      </c>
    </row>
    <row r="244" spans="3:5" x14ac:dyDescent="0.25">
      <c r="C244">
        <v>242</v>
      </c>
      <c r="D244">
        <f t="shared" si="6"/>
        <v>1558.8000000000002</v>
      </c>
      <c r="E244">
        <f t="shared" si="7"/>
        <v>1073.1000000000001</v>
      </c>
    </row>
    <row r="245" spans="3:5" x14ac:dyDescent="0.25">
      <c r="C245">
        <v>243</v>
      </c>
      <c r="D245">
        <f t="shared" si="6"/>
        <v>1565.2000000000003</v>
      </c>
      <c r="E245">
        <f t="shared" si="7"/>
        <v>1077.5000000000002</v>
      </c>
    </row>
    <row r="246" spans="3:5" x14ac:dyDescent="0.25">
      <c r="C246">
        <v>244</v>
      </c>
      <c r="D246">
        <f t="shared" si="6"/>
        <v>1571.6000000000001</v>
      </c>
      <c r="E246">
        <f t="shared" si="7"/>
        <v>1081.9000000000001</v>
      </c>
    </row>
    <row r="247" spans="3:5" x14ac:dyDescent="0.25">
      <c r="C247">
        <v>245</v>
      </c>
      <c r="D247">
        <f t="shared" si="6"/>
        <v>1578.0000000000002</v>
      </c>
      <c r="E247">
        <f t="shared" si="7"/>
        <v>1086.3000000000002</v>
      </c>
    </row>
    <row r="248" spans="3:5" x14ac:dyDescent="0.25">
      <c r="C248">
        <v>246</v>
      </c>
      <c r="D248">
        <f t="shared" si="6"/>
        <v>1584.4</v>
      </c>
      <c r="E248">
        <f t="shared" si="7"/>
        <v>1090.7</v>
      </c>
    </row>
    <row r="249" spans="3:5" x14ac:dyDescent="0.25">
      <c r="C249">
        <v>247</v>
      </c>
      <c r="D249">
        <f t="shared" si="6"/>
        <v>1590.8000000000002</v>
      </c>
      <c r="E249">
        <f t="shared" si="7"/>
        <v>1095.1000000000001</v>
      </c>
    </row>
    <row r="250" spans="3:5" x14ac:dyDescent="0.25">
      <c r="C250">
        <v>248</v>
      </c>
      <c r="D250">
        <f t="shared" si="6"/>
        <v>1597.2000000000003</v>
      </c>
      <c r="E250">
        <f t="shared" si="7"/>
        <v>1099.5000000000002</v>
      </c>
    </row>
    <row r="251" spans="3:5" x14ac:dyDescent="0.25">
      <c r="C251">
        <v>249</v>
      </c>
      <c r="D251">
        <f t="shared" si="6"/>
        <v>1603.6000000000001</v>
      </c>
      <c r="E251">
        <f t="shared" si="7"/>
        <v>1103.9000000000001</v>
      </c>
    </row>
    <row r="252" spans="3:5" x14ac:dyDescent="0.25">
      <c r="C252">
        <v>250</v>
      </c>
      <c r="D252">
        <f t="shared" si="6"/>
        <v>1610.0000000000002</v>
      </c>
      <c r="E252">
        <f t="shared" si="7"/>
        <v>1108.3000000000002</v>
      </c>
    </row>
    <row r="253" spans="3:5" x14ac:dyDescent="0.25">
      <c r="C253">
        <v>251</v>
      </c>
      <c r="D253">
        <f t="shared" si="6"/>
        <v>1616.4</v>
      </c>
      <c r="E253">
        <f t="shared" si="7"/>
        <v>1112.7</v>
      </c>
    </row>
    <row r="254" spans="3:5" x14ac:dyDescent="0.25">
      <c r="C254">
        <v>252</v>
      </c>
      <c r="D254">
        <f t="shared" si="6"/>
        <v>1622.8000000000002</v>
      </c>
      <c r="E254">
        <f t="shared" si="7"/>
        <v>1117.1000000000001</v>
      </c>
    </row>
    <row r="255" spans="3:5" x14ac:dyDescent="0.25">
      <c r="C255">
        <v>253</v>
      </c>
      <c r="D255">
        <f t="shared" si="6"/>
        <v>1629.2000000000003</v>
      </c>
      <c r="E255">
        <f t="shared" si="7"/>
        <v>1121.5000000000002</v>
      </c>
    </row>
    <row r="256" spans="3:5" x14ac:dyDescent="0.25">
      <c r="C256">
        <v>254</v>
      </c>
      <c r="D256">
        <f t="shared" si="6"/>
        <v>1635.6000000000001</v>
      </c>
      <c r="E256">
        <f t="shared" si="7"/>
        <v>1125.9000000000001</v>
      </c>
    </row>
    <row r="257" spans="3:5" x14ac:dyDescent="0.25">
      <c r="C257">
        <v>255</v>
      </c>
      <c r="D257">
        <f t="shared" si="6"/>
        <v>1642.0000000000002</v>
      </c>
      <c r="E257">
        <f t="shared" si="7"/>
        <v>1130.3000000000002</v>
      </c>
    </row>
  </sheetData>
  <mergeCells count="1">
    <mergeCell ref="D1:E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BCC6-78DB-4BFB-93F8-A53989EA45CB}">
  <dimension ref="A3:K15"/>
  <sheetViews>
    <sheetView workbookViewId="0">
      <selection activeCell="H5" sqref="H5:H6"/>
    </sheetView>
  </sheetViews>
  <sheetFormatPr defaultRowHeight="15" x14ac:dyDescent="0.25"/>
  <cols>
    <col min="1" max="1" width="30.140625" bestFit="1" customWidth="1"/>
    <col min="2" max="2" width="3" bestFit="1" customWidth="1"/>
    <col min="3" max="3" width="3.28515625" customWidth="1"/>
    <col min="4" max="4" width="14.28515625" bestFit="1" customWidth="1"/>
    <col min="5" max="5" width="12.28515625" bestFit="1" customWidth="1"/>
    <col min="6" max="6" width="24.42578125" bestFit="1" customWidth="1"/>
    <col min="7" max="7" width="14.28515625" bestFit="1" customWidth="1"/>
    <col min="8" max="8" width="12.28515625" bestFit="1" customWidth="1"/>
    <col min="9" max="9" width="24.42578125" bestFit="1" customWidth="1"/>
  </cols>
  <sheetData>
    <row r="3" spans="1:11" x14ac:dyDescent="0.25">
      <c r="D3" s="20" t="s">
        <v>20</v>
      </c>
      <c r="E3" s="20"/>
      <c r="F3" s="20"/>
      <c r="G3" s="20" t="s">
        <v>21</v>
      </c>
      <c r="H3" s="20"/>
      <c r="I3" s="20"/>
    </row>
    <row r="4" spans="1:11" x14ac:dyDescent="0.25">
      <c r="D4" s="2" t="s">
        <v>1</v>
      </c>
      <c r="E4" s="2" t="s">
        <v>2</v>
      </c>
      <c r="F4" s="2" t="s">
        <v>3</v>
      </c>
      <c r="G4" s="2" t="s">
        <v>1</v>
      </c>
      <c r="H4" s="2" t="s">
        <v>2</v>
      </c>
      <c r="I4" s="2" t="s">
        <v>3</v>
      </c>
    </row>
    <row r="5" spans="1:11" x14ac:dyDescent="0.25">
      <c r="D5">
        <v>1</v>
      </c>
      <c r="E5">
        <v>34.799999999999997</v>
      </c>
      <c r="G5">
        <v>1</v>
      </c>
      <c r="H5">
        <v>26.4</v>
      </c>
    </row>
    <row r="6" spans="1:11" x14ac:dyDescent="0.25">
      <c r="D6">
        <v>2</v>
      </c>
      <c r="E6">
        <v>38</v>
      </c>
      <c r="F6">
        <f>E6-E5</f>
        <v>3.2000000000000028</v>
      </c>
      <c r="G6">
        <v>2</v>
      </c>
      <c r="H6">
        <v>29.2</v>
      </c>
      <c r="I6">
        <f>H6-H5</f>
        <v>2.8000000000000007</v>
      </c>
      <c r="K6">
        <f>AVERAGE(I6:I9)</f>
        <v>2.8000000000000007</v>
      </c>
    </row>
    <row r="7" spans="1:11" x14ac:dyDescent="0.25">
      <c r="D7">
        <v>3</v>
      </c>
      <c r="E7">
        <v>41.2</v>
      </c>
      <c r="F7">
        <f t="shared" ref="F7:F10" si="0">E7-E6</f>
        <v>3.2000000000000028</v>
      </c>
      <c r="G7">
        <v>3</v>
      </c>
      <c r="H7">
        <v>32</v>
      </c>
      <c r="I7">
        <f t="shared" ref="I7:I10" si="1">H7-H6</f>
        <v>2.8000000000000007</v>
      </c>
    </row>
    <row r="8" spans="1:11" x14ac:dyDescent="0.25">
      <c r="D8">
        <v>4</v>
      </c>
      <c r="E8">
        <v>44.4</v>
      </c>
      <c r="F8">
        <f t="shared" si="0"/>
        <v>3.1999999999999957</v>
      </c>
      <c r="G8">
        <v>4</v>
      </c>
      <c r="H8">
        <v>34.9</v>
      </c>
      <c r="I8">
        <f t="shared" si="1"/>
        <v>2.8999999999999986</v>
      </c>
    </row>
    <row r="9" spans="1:11" x14ac:dyDescent="0.25">
      <c r="A9" s="20" t="s">
        <v>4</v>
      </c>
      <c r="B9" s="20"/>
      <c r="D9">
        <v>5</v>
      </c>
      <c r="E9">
        <v>47.6</v>
      </c>
      <c r="F9">
        <f t="shared" si="0"/>
        <v>3.2000000000000028</v>
      </c>
      <c r="G9">
        <v>5</v>
      </c>
      <c r="H9">
        <v>37.6</v>
      </c>
      <c r="I9">
        <f t="shared" si="1"/>
        <v>2.7000000000000028</v>
      </c>
    </row>
    <row r="10" spans="1:11" x14ac:dyDescent="0.25">
      <c r="A10" s="2" t="s">
        <v>19</v>
      </c>
      <c r="D10">
        <v>256</v>
      </c>
      <c r="E10">
        <v>2098.1</v>
      </c>
      <c r="G10">
        <v>256</v>
      </c>
      <c r="H10">
        <v>2001.7</v>
      </c>
    </row>
    <row r="11" spans="1:11" x14ac:dyDescent="0.25">
      <c r="A11">
        <v>17.600000000000001</v>
      </c>
      <c r="B11" s="2" t="s">
        <v>12</v>
      </c>
      <c r="D11">
        <v>257</v>
      </c>
      <c r="E11">
        <v>2107.4</v>
      </c>
      <c r="F11">
        <f>E11-E10</f>
        <v>9.3000000000001819</v>
      </c>
      <c r="G11">
        <v>257</v>
      </c>
      <c r="H11">
        <v>2010.6</v>
      </c>
      <c r="I11">
        <f>H11-H10</f>
        <v>8.8999999999998636</v>
      </c>
      <c r="K11">
        <f>AVERAGE(I11:I14)</f>
        <v>8.8000000000000114</v>
      </c>
    </row>
    <row r="12" spans="1:11" x14ac:dyDescent="0.25">
      <c r="B12" s="2"/>
      <c r="D12">
        <v>258</v>
      </c>
      <c r="E12">
        <v>2116.5</v>
      </c>
      <c r="F12">
        <f t="shared" ref="F12:F14" si="2">E12-E11</f>
        <v>9.0999999999999091</v>
      </c>
      <c r="G12">
        <v>258</v>
      </c>
      <c r="H12">
        <v>2019.3</v>
      </c>
      <c r="I12">
        <f t="shared" ref="I12:I14" si="3">H12-H11</f>
        <v>8.7000000000000455</v>
      </c>
    </row>
    <row r="13" spans="1:11" x14ac:dyDescent="0.25">
      <c r="A13" s="20" t="s">
        <v>9</v>
      </c>
      <c r="B13" s="20"/>
      <c r="D13">
        <v>259</v>
      </c>
      <c r="E13">
        <v>2125.8000000000002</v>
      </c>
      <c r="F13">
        <f t="shared" si="2"/>
        <v>9.3000000000001819</v>
      </c>
      <c r="G13">
        <v>259</v>
      </c>
      <c r="H13">
        <v>2028.2</v>
      </c>
      <c r="I13">
        <f t="shared" si="3"/>
        <v>8.9000000000000909</v>
      </c>
    </row>
    <row r="14" spans="1:11" x14ac:dyDescent="0.25">
      <c r="A14" s="2" t="s">
        <v>19</v>
      </c>
      <c r="D14">
        <v>260</v>
      </c>
      <c r="E14">
        <v>2134.9</v>
      </c>
      <c r="F14">
        <f t="shared" si="2"/>
        <v>9.0999999999999091</v>
      </c>
      <c r="G14">
        <v>260</v>
      </c>
      <c r="H14">
        <v>2036.9</v>
      </c>
      <c r="I14">
        <f t="shared" si="3"/>
        <v>8.7000000000000455</v>
      </c>
    </row>
    <row r="15" spans="1:11" x14ac:dyDescent="0.25">
      <c r="A15">
        <v>14.8</v>
      </c>
      <c r="B15" s="2" t="s">
        <v>12</v>
      </c>
    </row>
  </sheetData>
  <mergeCells count="4">
    <mergeCell ref="A9:B9"/>
    <mergeCell ref="A13:B13"/>
    <mergeCell ref="G3:I3"/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5376-D526-4E3D-8F29-82390A896260}">
  <dimension ref="B1:D257"/>
  <sheetViews>
    <sheetView tabSelected="1" workbookViewId="0">
      <selection activeCell="D163" activeCellId="1" sqref="C140 D163"/>
    </sheetView>
  </sheetViews>
  <sheetFormatPr defaultRowHeight="15" x14ac:dyDescent="0.25"/>
  <sheetData>
    <row r="1" spans="2:4" x14ac:dyDescent="0.25">
      <c r="C1" t="s">
        <v>15</v>
      </c>
      <c r="D1" t="s">
        <v>16</v>
      </c>
    </row>
    <row r="2" spans="2:4" x14ac:dyDescent="0.25">
      <c r="B2">
        <v>1</v>
      </c>
      <c r="C2" s="32">
        <v>34.799999999999997</v>
      </c>
      <c r="D2">
        <v>26.4</v>
      </c>
    </row>
    <row r="3" spans="2:4" x14ac:dyDescent="0.25">
      <c r="B3">
        <v>2</v>
      </c>
      <c r="C3">
        <v>38</v>
      </c>
      <c r="D3">
        <v>29.2</v>
      </c>
    </row>
    <row r="4" spans="2:4" x14ac:dyDescent="0.25">
      <c r="B4">
        <v>3</v>
      </c>
      <c r="C4">
        <v>41.2</v>
      </c>
      <c r="D4">
        <v>32</v>
      </c>
    </row>
    <row r="5" spans="2:4" x14ac:dyDescent="0.25">
      <c r="B5">
        <v>4</v>
      </c>
      <c r="C5">
        <v>44.4</v>
      </c>
      <c r="D5" s="32">
        <v>34.799999999999997</v>
      </c>
    </row>
    <row r="6" spans="2:4" x14ac:dyDescent="0.25">
      <c r="B6">
        <v>5</v>
      </c>
      <c r="C6">
        <v>47.6</v>
      </c>
      <c r="D6">
        <v>37.6</v>
      </c>
    </row>
    <row r="7" spans="2:4" x14ac:dyDescent="0.25">
      <c r="B7">
        <v>6</v>
      </c>
      <c r="C7" s="32">
        <v>50.8</v>
      </c>
      <c r="D7">
        <v>40.4</v>
      </c>
    </row>
    <row r="8" spans="2:4" x14ac:dyDescent="0.25">
      <c r="B8">
        <v>7</v>
      </c>
      <c r="C8">
        <v>54</v>
      </c>
      <c r="D8">
        <v>43.2</v>
      </c>
    </row>
    <row r="9" spans="2:4" x14ac:dyDescent="0.25">
      <c r="B9">
        <v>8</v>
      </c>
      <c r="C9">
        <v>57.2</v>
      </c>
      <c r="D9">
        <v>46</v>
      </c>
    </row>
    <row r="10" spans="2:4" x14ac:dyDescent="0.25">
      <c r="B10">
        <v>9</v>
      </c>
      <c r="C10">
        <v>60.4</v>
      </c>
      <c r="D10">
        <v>48.8</v>
      </c>
    </row>
    <row r="11" spans="2:4" x14ac:dyDescent="0.25">
      <c r="B11">
        <v>10</v>
      </c>
      <c r="C11">
        <v>63.6</v>
      </c>
      <c r="D11" s="32">
        <v>51.6</v>
      </c>
    </row>
    <row r="12" spans="2:4" x14ac:dyDescent="0.25">
      <c r="B12">
        <v>11</v>
      </c>
      <c r="C12">
        <v>66.8</v>
      </c>
      <c r="D12">
        <v>54.4</v>
      </c>
    </row>
    <row r="13" spans="2:4" x14ac:dyDescent="0.25">
      <c r="B13">
        <v>12</v>
      </c>
      <c r="C13">
        <v>70</v>
      </c>
      <c r="D13">
        <v>57.2</v>
      </c>
    </row>
    <row r="14" spans="2:4" x14ac:dyDescent="0.25">
      <c r="B14">
        <v>13</v>
      </c>
      <c r="C14">
        <v>73.2</v>
      </c>
      <c r="D14">
        <v>60</v>
      </c>
    </row>
    <row r="15" spans="2:4" x14ac:dyDescent="0.25">
      <c r="B15">
        <v>14</v>
      </c>
      <c r="C15" s="32">
        <v>76.400000000000006</v>
      </c>
      <c r="D15">
        <v>62.8</v>
      </c>
    </row>
    <row r="16" spans="2:4" x14ac:dyDescent="0.25">
      <c r="B16">
        <v>15</v>
      </c>
      <c r="C16">
        <v>79.599999999999994</v>
      </c>
      <c r="D16">
        <v>65.599999999999994</v>
      </c>
    </row>
    <row r="17" spans="2:4" x14ac:dyDescent="0.25">
      <c r="B17">
        <v>16</v>
      </c>
      <c r="C17">
        <v>82.8</v>
      </c>
      <c r="D17">
        <v>68.400000000000006</v>
      </c>
    </row>
    <row r="18" spans="2:4" x14ac:dyDescent="0.25">
      <c r="B18">
        <v>17</v>
      </c>
      <c r="C18">
        <v>86</v>
      </c>
      <c r="D18">
        <v>71.2</v>
      </c>
    </row>
    <row r="19" spans="2:4" x14ac:dyDescent="0.25">
      <c r="B19">
        <v>18</v>
      </c>
      <c r="C19">
        <v>89.2</v>
      </c>
      <c r="D19">
        <v>74</v>
      </c>
    </row>
    <row r="20" spans="2:4" x14ac:dyDescent="0.25">
      <c r="B20">
        <v>19</v>
      </c>
      <c r="C20">
        <v>92.400000000000105</v>
      </c>
      <c r="D20" s="32">
        <v>76.8</v>
      </c>
    </row>
    <row r="21" spans="2:4" x14ac:dyDescent="0.25">
      <c r="B21">
        <v>20</v>
      </c>
      <c r="C21">
        <v>95.600000000000094</v>
      </c>
      <c r="D21">
        <v>79.599999999999994</v>
      </c>
    </row>
    <row r="22" spans="2:4" x14ac:dyDescent="0.25">
      <c r="B22">
        <v>21</v>
      </c>
      <c r="C22">
        <v>98.800000000000097</v>
      </c>
      <c r="D22">
        <v>82.4</v>
      </c>
    </row>
    <row r="23" spans="2:4" x14ac:dyDescent="0.25">
      <c r="B23">
        <v>22</v>
      </c>
      <c r="C23" s="32">
        <v>102</v>
      </c>
      <c r="D23">
        <v>85.2</v>
      </c>
    </row>
    <row r="24" spans="2:4" x14ac:dyDescent="0.25">
      <c r="B24">
        <v>23</v>
      </c>
      <c r="C24">
        <v>105.2</v>
      </c>
      <c r="D24">
        <v>88</v>
      </c>
    </row>
    <row r="25" spans="2:4" x14ac:dyDescent="0.25">
      <c r="B25">
        <v>24</v>
      </c>
      <c r="C25">
        <v>108.4</v>
      </c>
      <c r="D25">
        <v>90.8</v>
      </c>
    </row>
    <row r="26" spans="2:4" x14ac:dyDescent="0.25">
      <c r="B26">
        <v>25</v>
      </c>
      <c r="C26">
        <v>111.6</v>
      </c>
      <c r="D26">
        <v>93.6</v>
      </c>
    </row>
    <row r="27" spans="2:4" x14ac:dyDescent="0.25">
      <c r="B27">
        <v>26</v>
      </c>
      <c r="C27">
        <v>114.8</v>
      </c>
      <c r="D27">
        <v>96.4</v>
      </c>
    </row>
    <row r="28" spans="2:4" x14ac:dyDescent="0.25">
      <c r="B28">
        <v>27</v>
      </c>
      <c r="C28">
        <v>118</v>
      </c>
      <c r="D28">
        <v>99.2</v>
      </c>
    </row>
    <row r="29" spans="2:4" x14ac:dyDescent="0.25">
      <c r="B29">
        <v>28</v>
      </c>
      <c r="C29">
        <v>121.2</v>
      </c>
      <c r="D29" s="32">
        <v>102</v>
      </c>
    </row>
    <row r="30" spans="2:4" x14ac:dyDescent="0.25">
      <c r="B30">
        <v>29</v>
      </c>
      <c r="C30">
        <v>124.4</v>
      </c>
      <c r="D30">
        <v>104.8</v>
      </c>
    </row>
    <row r="31" spans="2:4" x14ac:dyDescent="0.25">
      <c r="B31">
        <v>30</v>
      </c>
      <c r="C31" s="32">
        <v>127.6</v>
      </c>
      <c r="D31">
        <v>107.6</v>
      </c>
    </row>
    <row r="32" spans="2:4" x14ac:dyDescent="0.25">
      <c r="B32">
        <v>31</v>
      </c>
      <c r="C32">
        <v>130.80000000000001</v>
      </c>
      <c r="D32">
        <v>110.4</v>
      </c>
    </row>
    <row r="33" spans="2:4" x14ac:dyDescent="0.25">
      <c r="B33">
        <v>32</v>
      </c>
      <c r="C33">
        <v>134</v>
      </c>
      <c r="D33">
        <v>113.2</v>
      </c>
    </row>
    <row r="34" spans="2:4" x14ac:dyDescent="0.25">
      <c r="B34">
        <v>33</v>
      </c>
      <c r="C34">
        <v>137.19999999999999</v>
      </c>
      <c r="D34">
        <v>116</v>
      </c>
    </row>
    <row r="35" spans="2:4" x14ac:dyDescent="0.25">
      <c r="B35">
        <v>34</v>
      </c>
      <c r="C35">
        <v>140.4</v>
      </c>
      <c r="D35">
        <v>118.8</v>
      </c>
    </row>
    <row r="36" spans="2:4" x14ac:dyDescent="0.25">
      <c r="B36">
        <v>35</v>
      </c>
      <c r="C36">
        <v>143.6</v>
      </c>
      <c r="D36">
        <v>121.6</v>
      </c>
    </row>
    <row r="37" spans="2:4" x14ac:dyDescent="0.25">
      <c r="B37">
        <v>36</v>
      </c>
      <c r="C37">
        <v>146.80000000000001</v>
      </c>
      <c r="D37">
        <v>124.4</v>
      </c>
    </row>
    <row r="38" spans="2:4" x14ac:dyDescent="0.25">
      <c r="B38">
        <v>37</v>
      </c>
      <c r="C38" s="32">
        <v>150</v>
      </c>
      <c r="D38" s="32">
        <v>127.2</v>
      </c>
    </row>
    <row r="39" spans="2:4" x14ac:dyDescent="0.25">
      <c r="B39">
        <v>38</v>
      </c>
      <c r="C39">
        <v>153.19999999999999</v>
      </c>
      <c r="D39">
        <v>130</v>
      </c>
    </row>
    <row r="40" spans="2:4" x14ac:dyDescent="0.25">
      <c r="B40">
        <v>39</v>
      </c>
      <c r="C40">
        <v>156.4</v>
      </c>
      <c r="D40">
        <v>132.80000000000001</v>
      </c>
    </row>
    <row r="41" spans="2:4" x14ac:dyDescent="0.25">
      <c r="B41">
        <v>40</v>
      </c>
      <c r="C41">
        <v>159.6</v>
      </c>
      <c r="D41">
        <v>135.6</v>
      </c>
    </row>
    <row r="42" spans="2:4" x14ac:dyDescent="0.25">
      <c r="B42">
        <v>41</v>
      </c>
      <c r="C42">
        <v>162.80000000000001</v>
      </c>
      <c r="D42">
        <v>138.4</v>
      </c>
    </row>
    <row r="43" spans="2:4" x14ac:dyDescent="0.25">
      <c r="B43">
        <v>42</v>
      </c>
      <c r="C43">
        <v>166</v>
      </c>
      <c r="D43">
        <v>141.19999999999999</v>
      </c>
    </row>
    <row r="44" spans="2:4" x14ac:dyDescent="0.25">
      <c r="B44">
        <v>43</v>
      </c>
      <c r="C44">
        <v>169.2</v>
      </c>
      <c r="D44">
        <v>144</v>
      </c>
    </row>
    <row r="45" spans="2:4" x14ac:dyDescent="0.25">
      <c r="B45">
        <v>44</v>
      </c>
      <c r="C45">
        <v>172.4</v>
      </c>
      <c r="D45">
        <v>146.80000000000001</v>
      </c>
    </row>
    <row r="46" spans="2:4" x14ac:dyDescent="0.25">
      <c r="B46">
        <v>45</v>
      </c>
      <c r="C46" s="32">
        <v>175.6</v>
      </c>
      <c r="D46" s="32">
        <v>149.6</v>
      </c>
    </row>
    <row r="47" spans="2:4" x14ac:dyDescent="0.25">
      <c r="B47">
        <v>46</v>
      </c>
      <c r="C47">
        <v>178.8</v>
      </c>
      <c r="D47">
        <v>152.4</v>
      </c>
    </row>
    <row r="48" spans="2:4" x14ac:dyDescent="0.25">
      <c r="B48">
        <v>47</v>
      </c>
      <c r="C48">
        <v>182</v>
      </c>
      <c r="D48">
        <v>155.19999999999999</v>
      </c>
    </row>
    <row r="49" spans="2:4" x14ac:dyDescent="0.25">
      <c r="B49">
        <v>48</v>
      </c>
      <c r="C49">
        <v>185.2</v>
      </c>
      <c r="D49">
        <v>158</v>
      </c>
    </row>
    <row r="50" spans="2:4" x14ac:dyDescent="0.25">
      <c r="B50">
        <v>49</v>
      </c>
      <c r="C50">
        <v>188.4</v>
      </c>
      <c r="D50">
        <v>160.80000000000001</v>
      </c>
    </row>
    <row r="51" spans="2:4" x14ac:dyDescent="0.25">
      <c r="B51">
        <v>50</v>
      </c>
      <c r="C51">
        <v>191.6</v>
      </c>
      <c r="D51">
        <v>163.6</v>
      </c>
    </row>
    <row r="52" spans="2:4" x14ac:dyDescent="0.25">
      <c r="B52">
        <v>51</v>
      </c>
      <c r="C52">
        <v>194.8</v>
      </c>
      <c r="D52">
        <v>166.4</v>
      </c>
    </row>
    <row r="53" spans="2:4" x14ac:dyDescent="0.25">
      <c r="B53">
        <v>52</v>
      </c>
      <c r="C53">
        <v>198</v>
      </c>
      <c r="D53">
        <v>169.2</v>
      </c>
    </row>
    <row r="54" spans="2:4" x14ac:dyDescent="0.25">
      <c r="B54">
        <v>53</v>
      </c>
      <c r="C54" s="32">
        <v>201.2</v>
      </c>
      <c r="D54">
        <v>172</v>
      </c>
    </row>
    <row r="55" spans="2:4" x14ac:dyDescent="0.25">
      <c r="B55">
        <v>54</v>
      </c>
      <c r="C55">
        <v>204.4</v>
      </c>
      <c r="D55" s="32">
        <v>174.8</v>
      </c>
    </row>
    <row r="56" spans="2:4" x14ac:dyDescent="0.25">
      <c r="B56">
        <v>55</v>
      </c>
      <c r="C56">
        <v>207.6</v>
      </c>
      <c r="D56">
        <v>177.6</v>
      </c>
    </row>
    <row r="57" spans="2:4" x14ac:dyDescent="0.25">
      <c r="B57">
        <v>56</v>
      </c>
      <c r="C57">
        <v>210.8</v>
      </c>
      <c r="D57">
        <v>180.4</v>
      </c>
    </row>
    <row r="58" spans="2:4" x14ac:dyDescent="0.25">
      <c r="B58">
        <v>57</v>
      </c>
      <c r="C58">
        <v>214</v>
      </c>
      <c r="D58">
        <v>183.2</v>
      </c>
    </row>
    <row r="59" spans="2:4" x14ac:dyDescent="0.25">
      <c r="B59">
        <v>58</v>
      </c>
      <c r="C59">
        <v>217.2</v>
      </c>
      <c r="D59">
        <v>186</v>
      </c>
    </row>
    <row r="60" spans="2:4" x14ac:dyDescent="0.25">
      <c r="B60">
        <v>59</v>
      </c>
      <c r="C60">
        <v>220.4</v>
      </c>
      <c r="D60">
        <v>188.8</v>
      </c>
    </row>
    <row r="61" spans="2:4" x14ac:dyDescent="0.25">
      <c r="B61">
        <v>60</v>
      </c>
      <c r="C61">
        <v>223.6</v>
      </c>
      <c r="D61">
        <v>191.6</v>
      </c>
    </row>
    <row r="62" spans="2:4" x14ac:dyDescent="0.25">
      <c r="B62">
        <v>61</v>
      </c>
      <c r="C62" s="32">
        <v>226.8</v>
      </c>
      <c r="D62">
        <v>194.4</v>
      </c>
    </row>
    <row r="63" spans="2:4" x14ac:dyDescent="0.25">
      <c r="B63">
        <v>62</v>
      </c>
      <c r="C63">
        <v>230</v>
      </c>
      <c r="D63">
        <v>197.2</v>
      </c>
    </row>
    <row r="64" spans="2:4" x14ac:dyDescent="0.25">
      <c r="B64">
        <v>63</v>
      </c>
      <c r="C64">
        <v>233.2</v>
      </c>
      <c r="D64" s="32">
        <v>200</v>
      </c>
    </row>
    <row r="65" spans="2:4" x14ac:dyDescent="0.25">
      <c r="B65">
        <v>64</v>
      </c>
      <c r="C65">
        <v>236.4</v>
      </c>
      <c r="D65">
        <v>202.8</v>
      </c>
    </row>
    <row r="66" spans="2:4" x14ac:dyDescent="0.25">
      <c r="B66">
        <v>65</v>
      </c>
      <c r="C66">
        <v>239.6</v>
      </c>
      <c r="D66">
        <v>205.6</v>
      </c>
    </row>
    <row r="67" spans="2:4" x14ac:dyDescent="0.25">
      <c r="B67">
        <v>66</v>
      </c>
      <c r="C67">
        <v>242.8</v>
      </c>
      <c r="D67">
        <v>208.4</v>
      </c>
    </row>
    <row r="68" spans="2:4" x14ac:dyDescent="0.25">
      <c r="B68">
        <v>67</v>
      </c>
      <c r="C68">
        <v>246</v>
      </c>
      <c r="D68">
        <v>211.2</v>
      </c>
    </row>
    <row r="69" spans="2:4" x14ac:dyDescent="0.25">
      <c r="B69">
        <v>68</v>
      </c>
      <c r="C69">
        <v>249.2</v>
      </c>
      <c r="D69">
        <v>214</v>
      </c>
    </row>
    <row r="70" spans="2:4" x14ac:dyDescent="0.25">
      <c r="B70">
        <v>69</v>
      </c>
      <c r="C70" s="32">
        <v>252.4</v>
      </c>
      <c r="D70">
        <v>216.8</v>
      </c>
    </row>
    <row r="71" spans="2:4" x14ac:dyDescent="0.25">
      <c r="B71">
        <v>70</v>
      </c>
      <c r="C71">
        <v>255.6</v>
      </c>
      <c r="D71">
        <v>219.6</v>
      </c>
    </row>
    <row r="72" spans="2:4" x14ac:dyDescent="0.25">
      <c r="B72">
        <v>71</v>
      </c>
      <c r="C72">
        <v>258.8</v>
      </c>
      <c r="D72">
        <v>222.4</v>
      </c>
    </row>
    <row r="73" spans="2:4" x14ac:dyDescent="0.25">
      <c r="B73">
        <v>72</v>
      </c>
      <c r="C73">
        <v>262</v>
      </c>
      <c r="D73" s="32">
        <v>225.2</v>
      </c>
    </row>
    <row r="74" spans="2:4" x14ac:dyDescent="0.25">
      <c r="B74">
        <v>73</v>
      </c>
      <c r="C74">
        <v>265.2</v>
      </c>
      <c r="D74">
        <v>228</v>
      </c>
    </row>
    <row r="75" spans="2:4" x14ac:dyDescent="0.25">
      <c r="B75">
        <v>74</v>
      </c>
      <c r="C75">
        <v>268.39999999999998</v>
      </c>
      <c r="D75">
        <v>230.8</v>
      </c>
    </row>
    <row r="76" spans="2:4" x14ac:dyDescent="0.25">
      <c r="B76">
        <v>75</v>
      </c>
      <c r="C76">
        <v>271.60000000000002</v>
      </c>
      <c r="D76">
        <v>233.6</v>
      </c>
    </row>
    <row r="77" spans="2:4" x14ac:dyDescent="0.25">
      <c r="B77">
        <v>76</v>
      </c>
      <c r="C77" s="32">
        <v>274.8</v>
      </c>
      <c r="D77">
        <v>236.4</v>
      </c>
    </row>
    <row r="78" spans="2:4" x14ac:dyDescent="0.25">
      <c r="B78">
        <v>77</v>
      </c>
      <c r="C78">
        <v>278</v>
      </c>
      <c r="D78">
        <v>239.2</v>
      </c>
    </row>
    <row r="79" spans="2:4" x14ac:dyDescent="0.25">
      <c r="B79">
        <v>78</v>
      </c>
      <c r="C79">
        <v>281.2</v>
      </c>
      <c r="D79">
        <v>242</v>
      </c>
    </row>
    <row r="80" spans="2:4" x14ac:dyDescent="0.25">
      <c r="B80">
        <v>79</v>
      </c>
      <c r="C80">
        <v>284.39999999999998</v>
      </c>
      <c r="D80">
        <v>244.8</v>
      </c>
    </row>
    <row r="81" spans="2:4" x14ac:dyDescent="0.25">
      <c r="B81">
        <v>80</v>
      </c>
      <c r="C81">
        <v>287.60000000000002</v>
      </c>
      <c r="D81">
        <v>247.6</v>
      </c>
    </row>
    <row r="82" spans="2:4" x14ac:dyDescent="0.25">
      <c r="B82">
        <v>81</v>
      </c>
      <c r="C82">
        <v>290.8</v>
      </c>
      <c r="D82" s="32">
        <v>250.4</v>
      </c>
    </row>
    <row r="83" spans="2:4" x14ac:dyDescent="0.25">
      <c r="B83">
        <v>82</v>
      </c>
      <c r="C83">
        <v>294</v>
      </c>
      <c r="D83">
        <v>253.2</v>
      </c>
    </row>
    <row r="84" spans="2:4" x14ac:dyDescent="0.25">
      <c r="B84">
        <v>83</v>
      </c>
      <c r="C84">
        <v>297.2</v>
      </c>
      <c r="D84">
        <v>256</v>
      </c>
    </row>
    <row r="85" spans="2:4" x14ac:dyDescent="0.25">
      <c r="B85">
        <v>84</v>
      </c>
      <c r="C85" s="32">
        <v>300.39999999999998</v>
      </c>
      <c r="D85">
        <v>258.8</v>
      </c>
    </row>
    <row r="86" spans="2:4" x14ac:dyDescent="0.25">
      <c r="B86">
        <v>85</v>
      </c>
      <c r="C86">
        <v>303.60000000000002</v>
      </c>
      <c r="D86">
        <v>261.60000000000002</v>
      </c>
    </row>
    <row r="87" spans="2:4" x14ac:dyDescent="0.25">
      <c r="B87">
        <v>86</v>
      </c>
      <c r="C87">
        <v>306.8</v>
      </c>
      <c r="D87">
        <v>264.39999999999998</v>
      </c>
    </row>
    <row r="88" spans="2:4" x14ac:dyDescent="0.25">
      <c r="B88">
        <v>87</v>
      </c>
      <c r="C88">
        <v>310</v>
      </c>
      <c r="D88">
        <v>267.2</v>
      </c>
    </row>
    <row r="89" spans="2:4" x14ac:dyDescent="0.25">
      <c r="B89">
        <v>88</v>
      </c>
      <c r="C89">
        <v>313.2</v>
      </c>
      <c r="D89">
        <v>270</v>
      </c>
    </row>
    <row r="90" spans="2:4" x14ac:dyDescent="0.25">
      <c r="B90">
        <v>89</v>
      </c>
      <c r="C90">
        <v>316.39999999999998</v>
      </c>
      <c r="D90">
        <v>272.8</v>
      </c>
    </row>
    <row r="91" spans="2:4" x14ac:dyDescent="0.25">
      <c r="B91">
        <v>90</v>
      </c>
      <c r="C91">
        <v>319.60000000000002</v>
      </c>
      <c r="D91" s="32">
        <v>275.60000000000002</v>
      </c>
    </row>
    <row r="92" spans="2:4" x14ac:dyDescent="0.25">
      <c r="B92">
        <v>91</v>
      </c>
      <c r="C92">
        <v>322.8</v>
      </c>
      <c r="D92">
        <v>278.39999999999998</v>
      </c>
    </row>
    <row r="93" spans="2:4" x14ac:dyDescent="0.25">
      <c r="B93">
        <v>92</v>
      </c>
      <c r="C93" s="32">
        <v>326</v>
      </c>
      <c r="D93">
        <v>281.2</v>
      </c>
    </row>
    <row r="94" spans="2:4" x14ac:dyDescent="0.25">
      <c r="B94">
        <v>93</v>
      </c>
      <c r="C94">
        <v>329.2</v>
      </c>
      <c r="D94">
        <v>284</v>
      </c>
    </row>
    <row r="95" spans="2:4" x14ac:dyDescent="0.25">
      <c r="B95">
        <v>94</v>
      </c>
      <c r="C95">
        <v>332.4</v>
      </c>
      <c r="D95">
        <v>286.8</v>
      </c>
    </row>
    <row r="96" spans="2:4" x14ac:dyDescent="0.25">
      <c r="B96">
        <v>95</v>
      </c>
      <c r="C96">
        <v>335.6</v>
      </c>
      <c r="D96">
        <v>289.60000000000002</v>
      </c>
    </row>
    <row r="97" spans="2:4" x14ac:dyDescent="0.25">
      <c r="B97">
        <v>96</v>
      </c>
      <c r="C97">
        <v>338.8</v>
      </c>
      <c r="D97">
        <v>292.39999999999998</v>
      </c>
    </row>
    <row r="98" spans="2:4" x14ac:dyDescent="0.25">
      <c r="B98">
        <v>97</v>
      </c>
      <c r="C98">
        <v>342</v>
      </c>
      <c r="D98">
        <v>295.2</v>
      </c>
    </row>
    <row r="99" spans="2:4" x14ac:dyDescent="0.25">
      <c r="B99">
        <v>98</v>
      </c>
      <c r="C99">
        <v>345.2</v>
      </c>
      <c r="D99">
        <v>298</v>
      </c>
    </row>
    <row r="100" spans="2:4" x14ac:dyDescent="0.25">
      <c r="B100">
        <v>99</v>
      </c>
      <c r="C100">
        <v>348.4</v>
      </c>
      <c r="D100" s="32">
        <v>300.8</v>
      </c>
    </row>
    <row r="101" spans="2:4" x14ac:dyDescent="0.25">
      <c r="B101">
        <v>100</v>
      </c>
      <c r="C101" s="32">
        <v>351.6</v>
      </c>
      <c r="D101">
        <v>303.60000000000002</v>
      </c>
    </row>
    <row r="102" spans="2:4" x14ac:dyDescent="0.25">
      <c r="B102">
        <v>101</v>
      </c>
      <c r="C102">
        <v>354.8</v>
      </c>
      <c r="D102">
        <v>306.39999999999998</v>
      </c>
    </row>
    <row r="103" spans="2:4" x14ac:dyDescent="0.25">
      <c r="B103">
        <v>102</v>
      </c>
      <c r="C103">
        <v>358</v>
      </c>
      <c r="D103">
        <v>309.2</v>
      </c>
    </row>
    <row r="104" spans="2:4" x14ac:dyDescent="0.25">
      <c r="B104">
        <v>103</v>
      </c>
      <c r="C104">
        <v>361.2</v>
      </c>
      <c r="D104">
        <v>312</v>
      </c>
    </row>
    <row r="105" spans="2:4" x14ac:dyDescent="0.25">
      <c r="B105">
        <v>104</v>
      </c>
      <c r="C105">
        <v>364.4</v>
      </c>
      <c r="D105">
        <v>314.8</v>
      </c>
    </row>
    <row r="106" spans="2:4" x14ac:dyDescent="0.25">
      <c r="B106">
        <v>105</v>
      </c>
      <c r="C106">
        <v>367.6</v>
      </c>
      <c r="D106">
        <v>317.60000000000002</v>
      </c>
    </row>
    <row r="107" spans="2:4" x14ac:dyDescent="0.25">
      <c r="B107">
        <v>106</v>
      </c>
      <c r="C107">
        <v>370.8</v>
      </c>
      <c r="D107">
        <v>320.39999999999998</v>
      </c>
    </row>
    <row r="108" spans="2:4" x14ac:dyDescent="0.25">
      <c r="B108">
        <v>107</v>
      </c>
      <c r="C108">
        <v>374</v>
      </c>
      <c r="D108">
        <v>323.2</v>
      </c>
    </row>
    <row r="109" spans="2:4" x14ac:dyDescent="0.25">
      <c r="B109">
        <v>108</v>
      </c>
      <c r="C109" s="32">
        <v>377.2</v>
      </c>
      <c r="D109" s="32">
        <v>326</v>
      </c>
    </row>
    <row r="110" spans="2:4" x14ac:dyDescent="0.25">
      <c r="B110">
        <v>109</v>
      </c>
      <c r="C110">
        <v>380.4</v>
      </c>
      <c r="D110">
        <v>328.8</v>
      </c>
    </row>
    <row r="111" spans="2:4" x14ac:dyDescent="0.25">
      <c r="B111">
        <v>110</v>
      </c>
      <c r="C111">
        <v>383.6</v>
      </c>
      <c r="D111">
        <v>331.6</v>
      </c>
    </row>
    <row r="112" spans="2:4" x14ac:dyDescent="0.25">
      <c r="B112">
        <v>111</v>
      </c>
      <c r="C112">
        <v>386.8</v>
      </c>
      <c r="D112">
        <v>334.4</v>
      </c>
    </row>
    <row r="113" spans="2:4" x14ac:dyDescent="0.25">
      <c r="B113">
        <v>112</v>
      </c>
      <c r="C113">
        <v>390</v>
      </c>
      <c r="D113">
        <v>337.2</v>
      </c>
    </row>
    <row r="114" spans="2:4" x14ac:dyDescent="0.25">
      <c r="B114">
        <v>113</v>
      </c>
      <c r="C114">
        <v>393.2</v>
      </c>
      <c r="D114">
        <v>340</v>
      </c>
    </row>
    <row r="115" spans="2:4" x14ac:dyDescent="0.25">
      <c r="B115">
        <v>114</v>
      </c>
      <c r="C115">
        <v>396.4</v>
      </c>
      <c r="D115">
        <v>342.8</v>
      </c>
    </row>
    <row r="116" spans="2:4" x14ac:dyDescent="0.25">
      <c r="B116">
        <v>115</v>
      </c>
      <c r="C116" s="32">
        <v>399.6</v>
      </c>
      <c r="D116">
        <v>345.6</v>
      </c>
    </row>
    <row r="117" spans="2:4" x14ac:dyDescent="0.25">
      <c r="B117">
        <v>116</v>
      </c>
      <c r="C117">
        <v>402.8</v>
      </c>
      <c r="D117">
        <v>348.4</v>
      </c>
    </row>
    <row r="118" spans="2:4" x14ac:dyDescent="0.25">
      <c r="B118">
        <v>117</v>
      </c>
      <c r="C118">
        <v>406</v>
      </c>
      <c r="D118" s="32">
        <v>351.2</v>
      </c>
    </row>
    <row r="119" spans="2:4" x14ac:dyDescent="0.25">
      <c r="B119">
        <v>118</v>
      </c>
      <c r="C119">
        <v>409.2</v>
      </c>
      <c r="D119">
        <v>354</v>
      </c>
    </row>
    <row r="120" spans="2:4" x14ac:dyDescent="0.25">
      <c r="B120">
        <v>119</v>
      </c>
      <c r="C120">
        <v>412.4</v>
      </c>
      <c r="D120">
        <v>356.8</v>
      </c>
    </row>
    <row r="121" spans="2:4" x14ac:dyDescent="0.25">
      <c r="B121">
        <v>120</v>
      </c>
      <c r="C121">
        <v>415.6</v>
      </c>
      <c r="D121">
        <v>359.6</v>
      </c>
    </row>
    <row r="122" spans="2:4" x14ac:dyDescent="0.25">
      <c r="B122">
        <v>121</v>
      </c>
      <c r="C122">
        <v>418.8</v>
      </c>
      <c r="D122">
        <v>362.4</v>
      </c>
    </row>
    <row r="123" spans="2:4" x14ac:dyDescent="0.25">
      <c r="B123">
        <v>122</v>
      </c>
      <c r="C123">
        <v>422</v>
      </c>
      <c r="D123">
        <v>365.2</v>
      </c>
    </row>
    <row r="124" spans="2:4" x14ac:dyDescent="0.25">
      <c r="B124">
        <v>123</v>
      </c>
      <c r="C124" s="32">
        <v>425.2</v>
      </c>
      <c r="D124">
        <v>368</v>
      </c>
    </row>
    <row r="125" spans="2:4" x14ac:dyDescent="0.25">
      <c r="B125">
        <v>124</v>
      </c>
      <c r="C125">
        <v>428.4</v>
      </c>
      <c r="D125">
        <v>370.8</v>
      </c>
    </row>
    <row r="126" spans="2:4" x14ac:dyDescent="0.25">
      <c r="B126">
        <v>125</v>
      </c>
      <c r="C126">
        <v>431.6</v>
      </c>
      <c r="D126">
        <v>373.6</v>
      </c>
    </row>
    <row r="127" spans="2:4" x14ac:dyDescent="0.25">
      <c r="B127">
        <v>126</v>
      </c>
      <c r="C127">
        <v>434.8</v>
      </c>
      <c r="D127" s="32">
        <v>376.4</v>
      </c>
    </row>
    <row r="128" spans="2:4" x14ac:dyDescent="0.25">
      <c r="B128">
        <v>127</v>
      </c>
      <c r="C128">
        <v>438</v>
      </c>
      <c r="D128">
        <v>379.2</v>
      </c>
    </row>
    <row r="129" spans="2:4" x14ac:dyDescent="0.25">
      <c r="B129">
        <v>128</v>
      </c>
      <c r="C129">
        <v>441.2</v>
      </c>
      <c r="D129">
        <v>382</v>
      </c>
    </row>
    <row r="130" spans="2:4" x14ac:dyDescent="0.25">
      <c r="B130">
        <v>129</v>
      </c>
      <c r="C130">
        <v>444.4</v>
      </c>
      <c r="D130">
        <v>384.8</v>
      </c>
    </row>
    <row r="131" spans="2:4" x14ac:dyDescent="0.25">
      <c r="B131">
        <v>130</v>
      </c>
      <c r="C131">
        <v>447.6</v>
      </c>
      <c r="D131">
        <v>387.6</v>
      </c>
    </row>
    <row r="132" spans="2:4" x14ac:dyDescent="0.25">
      <c r="B132">
        <v>131</v>
      </c>
      <c r="C132" s="32">
        <v>450.8</v>
      </c>
      <c r="D132">
        <v>390.4</v>
      </c>
    </row>
    <row r="133" spans="2:4" x14ac:dyDescent="0.25">
      <c r="B133">
        <v>132</v>
      </c>
      <c r="C133">
        <v>454</v>
      </c>
      <c r="D133">
        <v>393.2</v>
      </c>
    </row>
    <row r="134" spans="2:4" x14ac:dyDescent="0.25">
      <c r="B134">
        <v>133</v>
      </c>
      <c r="C134">
        <v>457.2</v>
      </c>
      <c r="D134">
        <v>396</v>
      </c>
    </row>
    <row r="135" spans="2:4" x14ac:dyDescent="0.25">
      <c r="B135">
        <v>134</v>
      </c>
      <c r="C135">
        <v>460.4</v>
      </c>
      <c r="D135" s="32">
        <v>398.8</v>
      </c>
    </row>
    <row r="136" spans="2:4" x14ac:dyDescent="0.25">
      <c r="B136">
        <v>135</v>
      </c>
      <c r="C136">
        <v>463.6</v>
      </c>
      <c r="D136">
        <v>401.6</v>
      </c>
    </row>
    <row r="137" spans="2:4" x14ac:dyDescent="0.25">
      <c r="B137">
        <v>136</v>
      </c>
      <c r="C137">
        <v>466.8</v>
      </c>
      <c r="D137">
        <v>404.4</v>
      </c>
    </row>
    <row r="138" spans="2:4" x14ac:dyDescent="0.25">
      <c r="B138">
        <v>137</v>
      </c>
      <c r="C138">
        <v>470</v>
      </c>
      <c r="D138">
        <v>407.2</v>
      </c>
    </row>
    <row r="139" spans="2:4" x14ac:dyDescent="0.25">
      <c r="B139">
        <v>138</v>
      </c>
      <c r="C139">
        <v>473.2</v>
      </c>
      <c r="D139">
        <v>410</v>
      </c>
    </row>
    <row r="140" spans="2:4" x14ac:dyDescent="0.25">
      <c r="B140">
        <v>139</v>
      </c>
      <c r="C140" s="32">
        <v>476.4</v>
      </c>
      <c r="D140">
        <v>412.8</v>
      </c>
    </row>
    <row r="141" spans="2:4" x14ac:dyDescent="0.25">
      <c r="B141">
        <v>140</v>
      </c>
      <c r="C141">
        <v>479.6</v>
      </c>
      <c r="D141">
        <v>415.6</v>
      </c>
    </row>
    <row r="142" spans="2:4" x14ac:dyDescent="0.25">
      <c r="B142">
        <v>141</v>
      </c>
      <c r="C142">
        <v>482.8</v>
      </c>
      <c r="D142">
        <v>418.4</v>
      </c>
    </row>
    <row r="143" spans="2:4" x14ac:dyDescent="0.25">
      <c r="B143">
        <v>142</v>
      </c>
      <c r="C143">
        <v>486</v>
      </c>
      <c r="D143">
        <v>421.2</v>
      </c>
    </row>
    <row r="144" spans="2:4" x14ac:dyDescent="0.25">
      <c r="B144">
        <v>143</v>
      </c>
      <c r="C144">
        <v>489.2</v>
      </c>
      <c r="D144">
        <v>424</v>
      </c>
    </row>
    <row r="145" spans="2:4" x14ac:dyDescent="0.25">
      <c r="B145">
        <v>144</v>
      </c>
      <c r="C145">
        <v>492.4</v>
      </c>
      <c r="D145" s="32">
        <v>426.8</v>
      </c>
    </row>
    <row r="146" spans="2:4" x14ac:dyDescent="0.25">
      <c r="B146">
        <v>145</v>
      </c>
      <c r="C146">
        <v>495.6</v>
      </c>
      <c r="D146">
        <v>429.6</v>
      </c>
    </row>
    <row r="147" spans="2:4" x14ac:dyDescent="0.25">
      <c r="B147">
        <v>146</v>
      </c>
      <c r="C147" s="32">
        <v>498.8</v>
      </c>
      <c r="D147">
        <v>432.4</v>
      </c>
    </row>
    <row r="148" spans="2:4" x14ac:dyDescent="0.25">
      <c r="B148">
        <v>147</v>
      </c>
      <c r="C148">
        <v>502</v>
      </c>
      <c r="D148">
        <v>435.2</v>
      </c>
    </row>
    <row r="149" spans="2:4" x14ac:dyDescent="0.25">
      <c r="B149">
        <v>148</v>
      </c>
      <c r="C149">
        <v>505.2</v>
      </c>
      <c r="D149">
        <v>438</v>
      </c>
    </row>
    <row r="150" spans="2:4" x14ac:dyDescent="0.25">
      <c r="B150">
        <v>149</v>
      </c>
      <c r="C150">
        <v>508.4</v>
      </c>
      <c r="D150">
        <v>440.8</v>
      </c>
    </row>
    <row r="151" spans="2:4" x14ac:dyDescent="0.25">
      <c r="B151">
        <v>150</v>
      </c>
      <c r="C151">
        <v>511.6</v>
      </c>
      <c r="D151">
        <v>443.6</v>
      </c>
    </row>
    <row r="152" spans="2:4" x14ac:dyDescent="0.25">
      <c r="B152">
        <v>151</v>
      </c>
      <c r="C152">
        <v>514.79999999999995</v>
      </c>
      <c r="D152">
        <v>446.4</v>
      </c>
    </row>
    <row r="153" spans="2:4" x14ac:dyDescent="0.25">
      <c r="B153">
        <v>152</v>
      </c>
      <c r="C153">
        <v>518</v>
      </c>
      <c r="D153" s="32">
        <v>449.2</v>
      </c>
    </row>
    <row r="154" spans="2:4" x14ac:dyDescent="0.25">
      <c r="B154">
        <v>153</v>
      </c>
      <c r="C154">
        <v>521.20000000000005</v>
      </c>
      <c r="D154">
        <v>452</v>
      </c>
    </row>
    <row r="155" spans="2:4" x14ac:dyDescent="0.25">
      <c r="B155">
        <v>154</v>
      </c>
      <c r="C155">
        <v>524.4</v>
      </c>
      <c r="D155">
        <v>454.8</v>
      </c>
    </row>
    <row r="156" spans="2:4" x14ac:dyDescent="0.25">
      <c r="B156">
        <v>155</v>
      </c>
      <c r="C156">
        <v>527.6</v>
      </c>
      <c r="D156">
        <v>457.6</v>
      </c>
    </row>
    <row r="157" spans="2:4" x14ac:dyDescent="0.25">
      <c r="B157">
        <v>156</v>
      </c>
      <c r="C157">
        <v>530.79999999999995</v>
      </c>
      <c r="D157">
        <v>460.4</v>
      </c>
    </row>
    <row r="158" spans="2:4" x14ac:dyDescent="0.25">
      <c r="B158">
        <v>157</v>
      </c>
      <c r="C158">
        <v>534</v>
      </c>
      <c r="D158">
        <v>463.2</v>
      </c>
    </row>
    <row r="159" spans="2:4" x14ac:dyDescent="0.25">
      <c r="B159">
        <v>158</v>
      </c>
      <c r="C159">
        <v>537.20000000000005</v>
      </c>
      <c r="D159">
        <v>466</v>
      </c>
    </row>
    <row r="160" spans="2:4" x14ac:dyDescent="0.25">
      <c r="B160">
        <v>159</v>
      </c>
      <c r="C160">
        <v>540.4</v>
      </c>
      <c r="D160">
        <v>468.8</v>
      </c>
    </row>
    <row r="161" spans="2:4" x14ac:dyDescent="0.25">
      <c r="B161">
        <v>160</v>
      </c>
      <c r="C161">
        <v>543.6</v>
      </c>
      <c r="D161">
        <v>471.6</v>
      </c>
    </row>
    <row r="162" spans="2:4" x14ac:dyDescent="0.25">
      <c r="B162">
        <v>161</v>
      </c>
      <c r="C162">
        <v>546.79999999999995</v>
      </c>
      <c r="D162">
        <v>474.4</v>
      </c>
    </row>
    <row r="163" spans="2:4" x14ac:dyDescent="0.25">
      <c r="B163">
        <v>162</v>
      </c>
      <c r="C163">
        <v>550.00000000000102</v>
      </c>
      <c r="D163" s="32">
        <v>477.2</v>
      </c>
    </row>
    <row r="164" spans="2:4" x14ac:dyDescent="0.25">
      <c r="B164">
        <v>163</v>
      </c>
      <c r="C164">
        <v>553.20000000000005</v>
      </c>
      <c r="D164">
        <v>480</v>
      </c>
    </row>
    <row r="165" spans="2:4" x14ac:dyDescent="0.25">
      <c r="B165">
        <v>164</v>
      </c>
      <c r="C165">
        <v>556.4</v>
      </c>
      <c r="D165">
        <v>482.8</v>
      </c>
    </row>
    <row r="166" spans="2:4" x14ac:dyDescent="0.25">
      <c r="B166">
        <v>165</v>
      </c>
      <c r="C166">
        <v>559.6</v>
      </c>
      <c r="D166">
        <v>485.6</v>
      </c>
    </row>
    <row r="167" spans="2:4" x14ac:dyDescent="0.25">
      <c r="B167">
        <v>166</v>
      </c>
      <c r="C167">
        <v>562.79999999999995</v>
      </c>
      <c r="D167">
        <v>488.4</v>
      </c>
    </row>
    <row r="168" spans="2:4" x14ac:dyDescent="0.25">
      <c r="B168">
        <v>167</v>
      </c>
      <c r="C168">
        <v>566.00000000000102</v>
      </c>
      <c r="D168">
        <v>491.2</v>
      </c>
    </row>
    <row r="169" spans="2:4" x14ac:dyDescent="0.25">
      <c r="B169">
        <v>168</v>
      </c>
      <c r="C169">
        <v>569.20000000000005</v>
      </c>
      <c r="D169">
        <v>494</v>
      </c>
    </row>
    <row r="170" spans="2:4" x14ac:dyDescent="0.25">
      <c r="B170">
        <v>169</v>
      </c>
      <c r="C170">
        <v>572.4</v>
      </c>
      <c r="D170">
        <v>496.8</v>
      </c>
    </row>
    <row r="171" spans="2:4" x14ac:dyDescent="0.25">
      <c r="B171">
        <v>170</v>
      </c>
      <c r="C171">
        <v>575.60000000000105</v>
      </c>
      <c r="D171" s="32">
        <v>499.6</v>
      </c>
    </row>
    <row r="172" spans="2:4" x14ac:dyDescent="0.25">
      <c r="B172">
        <v>171</v>
      </c>
      <c r="C172">
        <v>578.79999999999995</v>
      </c>
      <c r="D172">
        <v>502.4</v>
      </c>
    </row>
    <row r="173" spans="2:4" x14ac:dyDescent="0.25">
      <c r="B173">
        <v>172</v>
      </c>
      <c r="C173">
        <v>582.00000000000102</v>
      </c>
      <c r="D173">
        <v>505.2</v>
      </c>
    </row>
    <row r="174" spans="2:4" x14ac:dyDescent="0.25">
      <c r="B174">
        <v>173</v>
      </c>
      <c r="C174">
        <v>585.20000000000095</v>
      </c>
      <c r="D174">
        <v>508</v>
      </c>
    </row>
    <row r="175" spans="2:4" x14ac:dyDescent="0.25">
      <c r="B175">
        <v>174</v>
      </c>
      <c r="C175">
        <v>588.4</v>
      </c>
      <c r="D175">
        <v>510.8</v>
      </c>
    </row>
    <row r="176" spans="2:4" x14ac:dyDescent="0.25">
      <c r="B176">
        <v>175</v>
      </c>
      <c r="C176">
        <v>591.60000000000105</v>
      </c>
      <c r="D176">
        <v>513.6</v>
      </c>
    </row>
    <row r="177" spans="2:4" x14ac:dyDescent="0.25">
      <c r="B177">
        <v>176</v>
      </c>
      <c r="C177">
        <v>594.79999999999995</v>
      </c>
      <c r="D177">
        <v>516.4</v>
      </c>
    </row>
    <row r="178" spans="2:4" x14ac:dyDescent="0.25">
      <c r="B178">
        <v>177</v>
      </c>
      <c r="C178">
        <v>598.00000000000102</v>
      </c>
      <c r="D178">
        <v>519.20000000000005</v>
      </c>
    </row>
    <row r="179" spans="2:4" x14ac:dyDescent="0.25">
      <c r="B179">
        <v>178</v>
      </c>
      <c r="C179">
        <v>601.20000000000095</v>
      </c>
      <c r="D179">
        <v>522</v>
      </c>
    </row>
    <row r="180" spans="2:4" x14ac:dyDescent="0.25">
      <c r="B180">
        <v>179</v>
      </c>
      <c r="C180">
        <v>604.4</v>
      </c>
      <c r="D180">
        <v>524.79999999999995</v>
      </c>
    </row>
    <row r="181" spans="2:4" x14ac:dyDescent="0.25">
      <c r="B181">
        <v>180</v>
      </c>
      <c r="C181">
        <v>607.60000000000105</v>
      </c>
      <c r="D181">
        <v>527.6</v>
      </c>
    </row>
    <row r="182" spans="2:4" x14ac:dyDescent="0.25">
      <c r="B182">
        <v>181</v>
      </c>
      <c r="C182">
        <v>610.79999999999995</v>
      </c>
      <c r="D182">
        <v>530.4</v>
      </c>
    </row>
    <row r="183" spans="2:4" x14ac:dyDescent="0.25">
      <c r="B183">
        <v>182</v>
      </c>
      <c r="C183">
        <v>614.00000000000102</v>
      </c>
      <c r="D183">
        <v>533.20000000000005</v>
      </c>
    </row>
    <row r="184" spans="2:4" x14ac:dyDescent="0.25">
      <c r="B184">
        <v>183</v>
      </c>
      <c r="C184">
        <v>617.20000000000095</v>
      </c>
      <c r="D184">
        <v>536</v>
      </c>
    </row>
    <row r="185" spans="2:4" x14ac:dyDescent="0.25">
      <c r="B185">
        <v>184</v>
      </c>
      <c r="C185">
        <v>620.4</v>
      </c>
      <c r="D185">
        <v>538.79999999999995</v>
      </c>
    </row>
    <row r="186" spans="2:4" x14ac:dyDescent="0.25">
      <c r="B186">
        <v>185</v>
      </c>
      <c r="C186">
        <v>623.60000000000105</v>
      </c>
      <c r="D186">
        <v>541.6</v>
      </c>
    </row>
    <row r="187" spans="2:4" x14ac:dyDescent="0.25">
      <c r="B187">
        <v>186</v>
      </c>
      <c r="C187">
        <v>626.80000000000098</v>
      </c>
      <c r="D187">
        <v>544.4</v>
      </c>
    </row>
    <row r="188" spans="2:4" x14ac:dyDescent="0.25">
      <c r="B188">
        <v>187</v>
      </c>
      <c r="C188">
        <v>630.00000000000102</v>
      </c>
      <c r="D188">
        <v>547.20000000000005</v>
      </c>
    </row>
    <row r="189" spans="2:4" x14ac:dyDescent="0.25">
      <c r="B189">
        <v>188</v>
      </c>
      <c r="C189">
        <v>633.20000000000095</v>
      </c>
      <c r="D189">
        <v>550</v>
      </c>
    </row>
    <row r="190" spans="2:4" x14ac:dyDescent="0.25">
      <c r="B190">
        <v>189</v>
      </c>
      <c r="C190">
        <v>636.400000000001</v>
      </c>
      <c r="D190">
        <v>552.79999999999995</v>
      </c>
    </row>
    <row r="191" spans="2:4" x14ac:dyDescent="0.25">
      <c r="B191">
        <v>190</v>
      </c>
      <c r="C191">
        <v>639.60000000000105</v>
      </c>
      <c r="D191">
        <v>555.6</v>
      </c>
    </row>
    <row r="192" spans="2:4" x14ac:dyDescent="0.25">
      <c r="B192">
        <v>191</v>
      </c>
      <c r="C192">
        <v>642.80000000000098</v>
      </c>
      <c r="D192">
        <v>558.4</v>
      </c>
    </row>
    <row r="193" spans="2:4" x14ac:dyDescent="0.25">
      <c r="B193">
        <v>192</v>
      </c>
      <c r="C193">
        <v>646.00000000000102</v>
      </c>
      <c r="D193">
        <v>561.20000000000005</v>
      </c>
    </row>
    <row r="194" spans="2:4" x14ac:dyDescent="0.25">
      <c r="B194">
        <v>193</v>
      </c>
      <c r="C194">
        <v>649.20000000000095</v>
      </c>
      <c r="D194">
        <v>564</v>
      </c>
    </row>
    <row r="195" spans="2:4" x14ac:dyDescent="0.25">
      <c r="B195">
        <v>194</v>
      </c>
      <c r="C195">
        <v>652.400000000001</v>
      </c>
      <c r="D195">
        <v>566.79999999999995</v>
      </c>
    </row>
    <row r="196" spans="2:4" x14ac:dyDescent="0.25">
      <c r="B196">
        <v>195</v>
      </c>
      <c r="C196">
        <v>655.60000000000105</v>
      </c>
      <c r="D196">
        <v>569.6</v>
      </c>
    </row>
    <row r="197" spans="2:4" x14ac:dyDescent="0.25">
      <c r="B197">
        <v>196</v>
      </c>
      <c r="C197">
        <v>658.80000000000098</v>
      </c>
      <c r="D197">
        <v>572.4</v>
      </c>
    </row>
    <row r="198" spans="2:4" x14ac:dyDescent="0.25">
      <c r="B198">
        <v>197</v>
      </c>
      <c r="C198">
        <v>662.00000000000102</v>
      </c>
      <c r="D198">
        <v>575.20000000000005</v>
      </c>
    </row>
    <row r="199" spans="2:4" x14ac:dyDescent="0.25">
      <c r="B199">
        <v>198</v>
      </c>
      <c r="C199">
        <v>665.20000000000095</v>
      </c>
      <c r="D199">
        <v>578</v>
      </c>
    </row>
    <row r="200" spans="2:4" x14ac:dyDescent="0.25">
      <c r="B200">
        <v>199</v>
      </c>
      <c r="C200">
        <v>668.400000000001</v>
      </c>
      <c r="D200">
        <v>580.79999999999995</v>
      </c>
    </row>
    <row r="201" spans="2:4" x14ac:dyDescent="0.25">
      <c r="B201">
        <v>200</v>
      </c>
      <c r="C201">
        <v>671.60000000000105</v>
      </c>
      <c r="D201">
        <v>583.6</v>
      </c>
    </row>
    <row r="202" spans="2:4" x14ac:dyDescent="0.25">
      <c r="B202">
        <v>201</v>
      </c>
      <c r="C202">
        <v>674.80000000000098</v>
      </c>
      <c r="D202">
        <v>586.4</v>
      </c>
    </row>
    <row r="203" spans="2:4" x14ac:dyDescent="0.25">
      <c r="B203">
        <v>202</v>
      </c>
      <c r="C203">
        <v>678.00000000000102</v>
      </c>
      <c r="D203">
        <v>589.20000000000005</v>
      </c>
    </row>
    <row r="204" spans="2:4" x14ac:dyDescent="0.25">
      <c r="B204">
        <v>203</v>
      </c>
      <c r="C204">
        <v>681.20000000000095</v>
      </c>
      <c r="D204">
        <v>592</v>
      </c>
    </row>
    <row r="205" spans="2:4" x14ac:dyDescent="0.25">
      <c r="B205">
        <v>204</v>
      </c>
      <c r="C205">
        <v>684.400000000001</v>
      </c>
      <c r="D205">
        <v>594.79999999999995</v>
      </c>
    </row>
    <row r="206" spans="2:4" x14ac:dyDescent="0.25">
      <c r="B206">
        <v>205</v>
      </c>
      <c r="C206">
        <v>687.60000000000105</v>
      </c>
      <c r="D206">
        <v>597.6</v>
      </c>
    </row>
    <row r="207" spans="2:4" x14ac:dyDescent="0.25">
      <c r="B207">
        <v>206</v>
      </c>
      <c r="C207">
        <v>690.80000000000098</v>
      </c>
      <c r="D207">
        <v>600.4</v>
      </c>
    </row>
    <row r="208" spans="2:4" x14ac:dyDescent="0.25">
      <c r="B208">
        <v>207</v>
      </c>
      <c r="C208">
        <v>694.00000000000102</v>
      </c>
      <c r="D208">
        <v>603.20000000000005</v>
      </c>
    </row>
    <row r="209" spans="2:4" x14ac:dyDescent="0.25">
      <c r="B209">
        <v>208</v>
      </c>
      <c r="C209">
        <v>697.20000000000095</v>
      </c>
      <c r="D209">
        <v>606</v>
      </c>
    </row>
    <row r="210" spans="2:4" x14ac:dyDescent="0.25">
      <c r="B210">
        <v>209</v>
      </c>
      <c r="C210">
        <v>700.400000000001</v>
      </c>
      <c r="D210">
        <v>608.79999999999995</v>
      </c>
    </row>
    <row r="211" spans="2:4" x14ac:dyDescent="0.25">
      <c r="B211">
        <v>210</v>
      </c>
      <c r="C211">
        <v>703.60000000000105</v>
      </c>
      <c r="D211">
        <v>611.6</v>
      </c>
    </row>
    <row r="212" spans="2:4" x14ac:dyDescent="0.25">
      <c r="B212">
        <v>211</v>
      </c>
      <c r="C212">
        <v>706.80000000000098</v>
      </c>
      <c r="D212">
        <v>614.4</v>
      </c>
    </row>
    <row r="213" spans="2:4" x14ac:dyDescent="0.25">
      <c r="B213">
        <v>212</v>
      </c>
      <c r="C213">
        <v>710.00000000000102</v>
      </c>
      <c r="D213">
        <v>617.20000000000005</v>
      </c>
    </row>
    <row r="214" spans="2:4" x14ac:dyDescent="0.25">
      <c r="B214">
        <v>213</v>
      </c>
      <c r="C214">
        <v>713.20000000000095</v>
      </c>
      <c r="D214">
        <v>620</v>
      </c>
    </row>
    <row r="215" spans="2:4" x14ac:dyDescent="0.25">
      <c r="B215">
        <v>214</v>
      </c>
      <c r="C215">
        <v>716.400000000001</v>
      </c>
      <c r="D215">
        <v>622.79999999999995</v>
      </c>
    </row>
    <row r="216" spans="2:4" x14ac:dyDescent="0.25">
      <c r="B216">
        <v>215</v>
      </c>
      <c r="C216">
        <v>719.60000000000105</v>
      </c>
      <c r="D216">
        <v>625.6</v>
      </c>
    </row>
    <row r="217" spans="2:4" x14ac:dyDescent="0.25">
      <c r="B217">
        <v>216</v>
      </c>
      <c r="C217">
        <v>722.80000000000098</v>
      </c>
      <c r="D217">
        <v>628.4</v>
      </c>
    </row>
    <row r="218" spans="2:4" x14ac:dyDescent="0.25">
      <c r="B218">
        <v>217</v>
      </c>
      <c r="C218">
        <v>726.00000000000102</v>
      </c>
      <c r="D218">
        <v>631.20000000000005</v>
      </c>
    </row>
    <row r="219" spans="2:4" x14ac:dyDescent="0.25">
      <c r="B219">
        <v>218</v>
      </c>
      <c r="C219">
        <v>729.20000000000095</v>
      </c>
      <c r="D219">
        <v>634</v>
      </c>
    </row>
    <row r="220" spans="2:4" x14ac:dyDescent="0.25">
      <c r="B220">
        <v>219</v>
      </c>
      <c r="C220">
        <v>732.400000000001</v>
      </c>
      <c r="D220">
        <v>636.79999999999995</v>
      </c>
    </row>
    <row r="221" spans="2:4" x14ac:dyDescent="0.25">
      <c r="B221">
        <v>220</v>
      </c>
      <c r="C221">
        <v>735.60000000000105</v>
      </c>
      <c r="D221">
        <v>639.6</v>
      </c>
    </row>
    <row r="222" spans="2:4" x14ac:dyDescent="0.25">
      <c r="B222">
        <v>221</v>
      </c>
      <c r="C222">
        <v>738.80000000000098</v>
      </c>
      <c r="D222">
        <v>642.4</v>
      </c>
    </row>
    <row r="223" spans="2:4" x14ac:dyDescent="0.25">
      <c r="B223">
        <v>222</v>
      </c>
      <c r="C223">
        <v>742.00000000000102</v>
      </c>
      <c r="D223">
        <v>645.20000000000005</v>
      </c>
    </row>
    <row r="224" spans="2:4" x14ac:dyDescent="0.25">
      <c r="B224">
        <v>223</v>
      </c>
      <c r="C224">
        <v>745.20000000000095</v>
      </c>
      <c r="D224">
        <v>648</v>
      </c>
    </row>
    <row r="225" spans="2:4" x14ac:dyDescent="0.25">
      <c r="B225">
        <v>224</v>
      </c>
      <c r="C225">
        <v>748.400000000001</v>
      </c>
      <c r="D225">
        <v>650.79999999999995</v>
      </c>
    </row>
    <row r="226" spans="2:4" x14ac:dyDescent="0.25">
      <c r="B226">
        <v>225</v>
      </c>
      <c r="C226">
        <v>751.60000000000105</v>
      </c>
      <c r="D226">
        <v>653.6</v>
      </c>
    </row>
    <row r="227" spans="2:4" x14ac:dyDescent="0.25">
      <c r="B227">
        <v>226</v>
      </c>
      <c r="C227">
        <v>754.80000000000098</v>
      </c>
      <c r="D227">
        <v>656.4</v>
      </c>
    </row>
    <row r="228" spans="2:4" x14ac:dyDescent="0.25">
      <c r="B228">
        <v>227</v>
      </c>
      <c r="C228">
        <v>758.00000000000102</v>
      </c>
      <c r="D228">
        <v>659.2</v>
      </c>
    </row>
    <row r="229" spans="2:4" x14ac:dyDescent="0.25">
      <c r="B229">
        <v>228</v>
      </c>
      <c r="C229">
        <v>761.20000000000095</v>
      </c>
      <c r="D229">
        <v>662</v>
      </c>
    </row>
    <row r="230" spans="2:4" x14ac:dyDescent="0.25">
      <c r="B230">
        <v>229</v>
      </c>
      <c r="C230">
        <v>764.400000000001</v>
      </c>
      <c r="D230">
        <v>664.8</v>
      </c>
    </row>
    <row r="231" spans="2:4" x14ac:dyDescent="0.25">
      <c r="B231">
        <v>230</v>
      </c>
      <c r="C231">
        <v>767.60000000000105</v>
      </c>
      <c r="D231">
        <v>667.6</v>
      </c>
    </row>
    <row r="232" spans="2:4" x14ac:dyDescent="0.25">
      <c r="B232">
        <v>231</v>
      </c>
      <c r="C232">
        <v>770.80000000000098</v>
      </c>
      <c r="D232">
        <v>670.4</v>
      </c>
    </row>
    <row r="233" spans="2:4" x14ac:dyDescent="0.25">
      <c r="B233">
        <v>232</v>
      </c>
      <c r="C233">
        <v>774.00000000000102</v>
      </c>
      <c r="D233">
        <v>673.2</v>
      </c>
    </row>
    <row r="234" spans="2:4" x14ac:dyDescent="0.25">
      <c r="B234">
        <v>233</v>
      </c>
      <c r="C234">
        <v>777.20000000000095</v>
      </c>
      <c r="D234">
        <v>676</v>
      </c>
    </row>
    <row r="235" spans="2:4" x14ac:dyDescent="0.25">
      <c r="B235">
        <v>234</v>
      </c>
      <c r="C235">
        <v>780.400000000001</v>
      </c>
      <c r="D235">
        <v>678.8</v>
      </c>
    </row>
    <row r="236" spans="2:4" x14ac:dyDescent="0.25">
      <c r="B236">
        <v>235</v>
      </c>
      <c r="C236">
        <v>783.60000000000105</v>
      </c>
      <c r="D236">
        <v>681.6</v>
      </c>
    </row>
    <row r="237" spans="2:4" x14ac:dyDescent="0.25">
      <c r="B237">
        <v>236</v>
      </c>
      <c r="C237">
        <v>786.80000000000098</v>
      </c>
      <c r="D237">
        <v>684.4</v>
      </c>
    </row>
    <row r="238" spans="2:4" x14ac:dyDescent="0.25">
      <c r="B238">
        <v>237</v>
      </c>
      <c r="C238">
        <v>790.00000000000102</v>
      </c>
      <c r="D238">
        <v>687.2</v>
      </c>
    </row>
    <row r="239" spans="2:4" x14ac:dyDescent="0.25">
      <c r="B239">
        <v>238</v>
      </c>
      <c r="C239">
        <v>793.20000000000095</v>
      </c>
      <c r="D239">
        <v>690</v>
      </c>
    </row>
    <row r="240" spans="2:4" x14ac:dyDescent="0.25">
      <c r="B240">
        <v>239</v>
      </c>
      <c r="C240">
        <v>796.400000000001</v>
      </c>
      <c r="D240">
        <v>692.8</v>
      </c>
    </row>
    <row r="241" spans="2:4" x14ac:dyDescent="0.25">
      <c r="B241">
        <v>240</v>
      </c>
      <c r="C241">
        <v>799.60000000000105</v>
      </c>
      <c r="D241">
        <v>695.6</v>
      </c>
    </row>
    <row r="242" spans="2:4" x14ac:dyDescent="0.25">
      <c r="B242">
        <v>241</v>
      </c>
      <c r="C242">
        <v>802.80000000000098</v>
      </c>
      <c r="D242">
        <v>698.4</v>
      </c>
    </row>
    <row r="243" spans="2:4" x14ac:dyDescent="0.25">
      <c r="B243">
        <v>242</v>
      </c>
      <c r="C243">
        <v>806.00000000000102</v>
      </c>
      <c r="D243">
        <v>701.2</v>
      </c>
    </row>
    <row r="244" spans="2:4" x14ac:dyDescent="0.25">
      <c r="B244">
        <v>243</v>
      </c>
      <c r="C244">
        <v>809.20000000000095</v>
      </c>
      <c r="D244">
        <v>704</v>
      </c>
    </row>
    <row r="245" spans="2:4" x14ac:dyDescent="0.25">
      <c r="B245">
        <v>244</v>
      </c>
      <c r="C245">
        <v>812.400000000001</v>
      </c>
      <c r="D245">
        <v>706.8</v>
      </c>
    </row>
    <row r="246" spans="2:4" x14ac:dyDescent="0.25">
      <c r="B246">
        <v>245</v>
      </c>
      <c r="C246">
        <v>815.60000000000105</v>
      </c>
      <c r="D246">
        <v>709.6</v>
      </c>
    </row>
    <row r="247" spans="2:4" x14ac:dyDescent="0.25">
      <c r="B247">
        <v>246</v>
      </c>
      <c r="C247">
        <v>818.80000000000098</v>
      </c>
      <c r="D247">
        <v>712.4</v>
      </c>
    </row>
    <row r="248" spans="2:4" x14ac:dyDescent="0.25">
      <c r="B248">
        <v>247</v>
      </c>
      <c r="C248">
        <v>822.00000000000102</v>
      </c>
      <c r="D248">
        <v>715.2</v>
      </c>
    </row>
    <row r="249" spans="2:4" x14ac:dyDescent="0.25">
      <c r="B249">
        <v>248</v>
      </c>
      <c r="C249">
        <v>825.20000000000095</v>
      </c>
      <c r="D249">
        <v>718</v>
      </c>
    </row>
    <row r="250" spans="2:4" x14ac:dyDescent="0.25">
      <c r="B250">
        <v>249</v>
      </c>
      <c r="C250">
        <v>828.400000000001</v>
      </c>
      <c r="D250">
        <v>720.8</v>
      </c>
    </row>
    <row r="251" spans="2:4" x14ac:dyDescent="0.25">
      <c r="B251">
        <v>250</v>
      </c>
      <c r="C251">
        <v>831.60000000000105</v>
      </c>
      <c r="D251">
        <v>723.6</v>
      </c>
    </row>
    <row r="252" spans="2:4" x14ac:dyDescent="0.25">
      <c r="B252">
        <v>251</v>
      </c>
      <c r="C252">
        <v>834.80000000000098</v>
      </c>
      <c r="D252">
        <v>726.4</v>
      </c>
    </row>
    <row r="253" spans="2:4" x14ac:dyDescent="0.25">
      <c r="B253">
        <v>252</v>
      </c>
      <c r="C253">
        <v>838.00000000000102</v>
      </c>
      <c r="D253">
        <v>729.2</v>
      </c>
    </row>
    <row r="254" spans="2:4" x14ac:dyDescent="0.25">
      <c r="B254">
        <v>253</v>
      </c>
      <c r="C254">
        <v>841.20000000000095</v>
      </c>
      <c r="D254">
        <v>732</v>
      </c>
    </row>
    <row r="255" spans="2:4" x14ac:dyDescent="0.25">
      <c r="B255">
        <v>254</v>
      </c>
      <c r="C255">
        <v>844.400000000001</v>
      </c>
      <c r="D255">
        <v>734.8</v>
      </c>
    </row>
    <row r="256" spans="2:4" x14ac:dyDescent="0.25">
      <c r="B256">
        <v>255</v>
      </c>
      <c r="C256">
        <v>847.60000000000105</v>
      </c>
      <c r="D256">
        <v>737.6</v>
      </c>
    </row>
    <row r="257" spans="2:4" x14ac:dyDescent="0.25">
      <c r="B257">
        <v>256</v>
      </c>
      <c r="C257">
        <v>850.80000000000098</v>
      </c>
      <c r="D257">
        <v>740.4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SingleFunc</vt:lpstr>
      <vt:lpstr>SepFuncInline</vt:lpstr>
      <vt:lpstr>DelayCalcs</vt:lpstr>
      <vt:lpstr>usDelayMeasuredData</vt:lpstr>
      <vt:lpstr>usDelayVals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Parsh</dc:creator>
  <cp:lastModifiedBy>Trevor Parsh</cp:lastModifiedBy>
  <dcterms:created xsi:type="dcterms:W3CDTF">2019-11-10T13:11:59Z</dcterms:created>
  <dcterms:modified xsi:type="dcterms:W3CDTF">2019-11-15T13:37:38Z</dcterms:modified>
</cp:coreProperties>
</file>