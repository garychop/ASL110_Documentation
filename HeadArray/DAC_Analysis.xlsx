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Invacare\ASL110\ASL110_Documentation\HeadArray\"/>
    </mc:Choice>
  </mc:AlternateContent>
  <xr:revisionPtr revIDLastSave="0" documentId="13_ncr:1_{55BF66D6-5AF6-4ECC-9168-C57784C5A26C}" xr6:coauthVersionLast="45" xr6:coauthVersionMax="45" xr10:uidLastSave="{00000000-0000-0000-0000-000000000000}"/>
  <bookViews>
    <workbookView xWindow="-28920" yWindow="-120" windowWidth="29040" windowHeight="15840" xr2:uid="{5733FAC2-2F46-4B2B-A51C-B52997863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9" i="1" l="1"/>
  <c r="I8" i="1"/>
  <c r="J4" i="1"/>
  <c r="J5" i="1"/>
  <c r="J3" i="1"/>
  <c r="I5" i="1"/>
  <c r="I4" i="1"/>
  <c r="I3" i="1"/>
  <c r="E10" i="1"/>
  <c r="E6" i="1"/>
  <c r="E7" i="1"/>
  <c r="E8" i="1"/>
  <c r="E9" i="1"/>
  <c r="E5" i="1"/>
  <c r="E4" i="1"/>
  <c r="C6" i="1"/>
  <c r="C7" i="1"/>
  <c r="C8" i="1"/>
  <c r="C9" i="1"/>
  <c r="C5" i="1"/>
  <c r="C4" i="1"/>
  <c r="C10" i="1" l="1"/>
</calcChain>
</file>

<file path=xl/sharedStrings.xml><?xml version="1.0" encoding="utf-8"?>
<sst xmlns="http://schemas.openxmlformats.org/spreadsheetml/2006/main" count="13" uniqueCount="12">
  <si>
    <t>Output</t>
  </si>
  <si>
    <t>DAC Value</t>
  </si>
  <si>
    <t>Fwd/Backwards (V)</t>
  </si>
  <si>
    <t>Rotate (V)</t>
  </si>
  <si>
    <t xml:space="preserve"> </t>
  </si>
  <si>
    <t>Step Size (V)</t>
  </si>
  <si>
    <t>Average</t>
  </si>
  <si>
    <t>Min Out Val (4.8VDC)</t>
  </si>
  <si>
    <t>Nuetral Out Val (6.0VDC)</t>
  </si>
  <si>
    <t>Max Out Val (7.2VDC)</t>
  </si>
  <si>
    <t>Step Size (DAC Counts)</t>
  </si>
  <si>
    <t>Actual Out 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</si>
</sst>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1" xfId="0" applyFont="1" applyBorder="1"/>
    <xf numFmtId="0" fontId="0" fillId="0" borderId="2" xfId="0" applyBorder="1"/>
    <xf numFmtId="164" fontId="0" fillId="0" borderId="2" xfId="0" applyNumberFormat="1" applyBorder="1"/>
    <xf numFmtId="164" fontId="0" fillId="0" borderId="3" xfId="0" applyNumberFormat="1" applyBorder="1"/>
    <xf numFmtId="165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8A1B-8BD1-40D5-B848-4CA1D1197591}">
  <dimension ref="A1:J10"/>
  <sheetViews>
    <sheetView tabSelected="1" workbookViewId="0">
      <selection activeCell="M10" sqref="M10"/>
    </sheetView>
  </sheetViews>
  <sheetFormatPr defaultRowHeight="15" x14ac:dyDescent="0.25"/>
  <cols>
    <col min="1" max="1" width="10.28515625" bestFit="1" customWidth="1"/>
    <col min="2" max="2" width="18.28515625" bestFit="1" customWidth="1"/>
    <col min="3" max="3" width="12.140625" bestFit="1" customWidth="1"/>
    <col min="4" max="4" width="10" bestFit="1" customWidth="1"/>
    <col min="5" max="5" width="12.140625" bestFit="1" customWidth="1"/>
    <col min="8" max="8" width="23.28515625" bestFit="1" customWidth="1"/>
    <col min="9" max="9" width="21.5703125" bestFit="1" customWidth="1"/>
    <col min="10" max="10" width="21" bestFit="1" customWidth="1"/>
    <col min="11" max="11" width="11.28515625" bestFit="1" customWidth="1"/>
  </cols>
  <sheetData>
    <row r="1" spans="1:10" x14ac:dyDescent="0.25">
      <c r="C1" t="s">
        <v>4</v>
      </c>
    </row>
    <row r="2" spans="1:10" x14ac:dyDescent="0.25">
      <c r="A2" s="1"/>
      <c r="B2" s="8" t="s">
        <v>0</v>
      </c>
      <c r="C2" s="8"/>
      <c r="D2" s="8"/>
      <c r="E2" s="8"/>
      <c r="I2" s="1" t="s">
        <v>10</v>
      </c>
      <c r="J2" s="1" t="s">
        <v>11</v>
      </c>
    </row>
    <row r="3" spans="1:10" x14ac:dyDescent="0.25">
      <c r="A3" s="1" t="s">
        <v>1</v>
      </c>
      <c r="B3" s="1" t="s">
        <v>2</v>
      </c>
      <c r="C3" s="1" t="s">
        <v>5</v>
      </c>
      <c r="D3" s="1" t="s">
        <v>3</v>
      </c>
      <c r="E3" s="1" t="s">
        <v>5</v>
      </c>
      <c r="F3" s="1"/>
      <c r="H3" t="s">
        <v>7</v>
      </c>
      <c r="I3">
        <f>ROUND(4.8/0.00295, 0)</f>
        <v>1627</v>
      </c>
      <c r="J3" s="7">
        <f>I3*0.00295</f>
        <v>4.7996499999999997</v>
      </c>
    </row>
    <row r="4" spans="1:10" x14ac:dyDescent="0.25">
      <c r="A4">
        <v>100</v>
      </c>
      <c r="B4">
        <v>0.29199999999999998</v>
      </c>
      <c r="C4" s="2">
        <f>B4/100</f>
        <v>2.9199999999999999E-3</v>
      </c>
      <c r="D4">
        <v>0.29499999999999998</v>
      </c>
      <c r="E4" s="2">
        <f>D4/100</f>
        <v>2.9499999999999999E-3</v>
      </c>
      <c r="H4" t="s">
        <v>8</v>
      </c>
      <c r="I4">
        <f>ROUND(6/0.00295, 0)</f>
        <v>2034</v>
      </c>
      <c r="J4" s="7">
        <f t="shared" ref="J4:J5" si="0">I4*0.00295</f>
        <v>6.0003000000000002</v>
      </c>
    </row>
    <row r="5" spans="1:10" x14ac:dyDescent="0.25">
      <c r="A5">
        <v>200</v>
      </c>
      <c r="B5">
        <v>0.58599999999999997</v>
      </c>
      <c r="C5" s="2">
        <f>(B5-B4)/(A5-A4)</f>
        <v>2.9399999999999999E-3</v>
      </c>
      <c r="D5">
        <v>0.58899999999999997</v>
      </c>
      <c r="E5" s="2">
        <f>(D5-D4)/(A5-A4)</f>
        <v>2.9399999999999999E-3</v>
      </c>
      <c r="H5" t="s">
        <v>9</v>
      </c>
      <c r="I5">
        <f>ROUND(7.2/0.00295, 0)</f>
        <v>2441</v>
      </c>
      <c r="J5" s="7">
        <f t="shared" si="0"/>
        <v>7.2009499999999997</v>
      </c>
    </row>
    <row r="6" spans="1:10" x14ac:dyDescent="0.25">
      <c r="A6">
        <v>500</v>
      </c>
      <c r="B6">
        <v>1.4710000000000001</v>
      </c>
      <c r="C6" s="2">
        <f t="shared" ref="C6:C9" si="1">(B6-B5)/(A6-A5)</f>
        <v>2.9500000000000004E-3</v>
      </c>
      <c r="D6">
        <v>1.476</v>
      </c>
      <c r="E6" s="2">
        <f t="shared" ref="E6:E9" si="2">(D6-D5)/(A6-A5)</f>
        <v>2.9566666666666669E-3</v>
      </c>
    </row>
    <row r="7" spans="1:10" x14ac:dyDescent="0.25">
      <c r="A7">
        <v>1000</v>
      </c>
      <c r="B7">
        <v>2.952</v>
      </c>
      <c r="C7" s="2">
        <f t="shared" si="1"/>
        <v>2.9619999999999998E-3</v>
      </c>
      <c r="D7">
        <v>2.9540000000000002</v>
      </c>
      <c r="E7" s="2">
        <f t="shared" si="2"/>
        <v>2.9560000000000003E-3</v>
      </c>
    </row>
    <row r="8" spans="1:10" x14ac:dyDescent="0.25">
      <c r="A8">
        <v>2000</v>
      </c>
      <c r="B8">
        <v>5.91</v>
      </c>
      <c r="C8" s="2">
        <f t="shared" si="1"/>
        <v>2.9580000000000001E-3</v>
      </c>
      <c r="D8">
        <v>5.9130000000000003</v>
      </c>
      <c r="E8" s="2">
        <f t="shared" si="2"/>
        <v>2.9590000000000003E-3</v>
      </c>
      <c r="I8">
        <f>I4-I3</f>
        <v>407</v>
      </c>
    </row>
    <row r="9" spans="1:10" ht="15.75" thickBot="1" x14ac:dyDescent="0.3">
      <c r="A9">
        <v>2500</v>
      </c>
      <c r="B9">
        <v>7.39</v>
      </c>
      <c r="C9" s="2">
        <f t="shared" si="1"/>
        <v>2.9599999999999991E-3</v>
      </c>
      <c r="D9">
        <v>7.39</v>
      </c>
      <c r="E9" s="2">
        <f t="shared" si="2"/>
        <v>2.9539999999999987E-3</v>
      </c>
      <c r="I9">
        <f>I5-I4</f>
        <v>407</v>
      </c>
    </row>
    <row r="10" spans="1:10" ht="15.75" thickBot="1" x14ac:dyDescent="0.3">
      <c r="A10" s="3" t="s">
        <v>6</v>
      </c>
      <c r="B10" s="4"/>
      <c r="C10" s="5">
        <f>AVERAGE(C4:C9)</f>
        <v>2.9483333333333328E-3</v>
      </c>
      <c r="D10" s="4"/>
      <c r="E10" s="6">
        <f>AVERAGE(E4:E9)</f>
        <v>2.9526111111111107E-3</v>
      </c>
    </row>
  </sheetData>
  <mergeCells count="1">
    <mergeCell ref="B2:E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Trevor Parsh</dc:creator>
  <cp:lastModifiedBy>Trevor Parsh</cp:lastModifiedBy>
  <dcterms:created xsi:type="dcterms:W3CDTF">2019-12-01T19:34:13Z</dcterms:created>
  <dcterms:modified xsi:type="dcterms:W3CDTF">2019-12-03T15:48:59Z</dcterms:modified>
</cp:coreProperties>
</file>